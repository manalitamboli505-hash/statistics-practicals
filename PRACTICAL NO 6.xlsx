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cuments\"/>
    </mc:Choice>
  </mc:AlternateContent>
  <xr:revisionPtr revIDLastSave="0" documentId="8_{8A80C3BF-1E75-4F20-AAB6-53F75924668B}" xr6:coauthVersionLast="47" xr6:coauthVersionMax="47" xr10:uidLastSave="{00000000-0000-0000-0000-000000000000}"/>
  <bookViews>
    <workbookView xWindow="-110" yWindow="-110" windowWidth="19420" windowHeight="10300" activeTab="2" xr2:uid="{282F3E90-8966-40BC-8243-7C0CE4D7816F}"/>
  </bookViews>
  <sheets>
    <sheet name="question 1" sheetId="2" r:id="rId1"/>
    <sheet name="question 2" sheetId="1" r:id="rId2"/>
    <sheet name="QUESTION 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2" i="2"/>
  <c r="D3" i="2"/>
  <c r="D4" i="2"/>
  <c r="D5" i="2"/>
  <c r="D6" i="2"/>
  <c r="D7" i="2"/>
  <c r="D8" i="2"/>
  <c r="D9" i="2"/>
  <c r="D10" i="2"/>
  <c r="D2" i="2"/>
  <c r="C2" i="2"/>
  <c r="B2" i="2"/>
</calcChain>
</file>

<file path=xl/sharedStrings.xml><?xml version="1.0" encoding="utf-8"?>
<sst xmlns="http://schemas.openxmlformats.org/spreadsheetml/2006/main" count="69" uniqueCount="35">
  <si>
    <t>Hours Studied (X)</t>
  </si>
  <si>
    <t>Exam Score (Y)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</si>
  <si>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</si>
  <si>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</si>
  <si>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</si>
  <si>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</si>
  <si>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</si>
  <si>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</si>
  <si>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</si>
  <si>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</si>
  <si>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</si>
  <si>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</si>
  <si>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</si>
  <si>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</si>
  <si>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</si>
  <si>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</si>
  <si>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</si>
  <si>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</si>
  <si>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</si>
  <si>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</si>
  <si>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</si>
  <si>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</si>
  <si>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</si>
  <si>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</si>
  <si>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</si>
  <si>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</si>
  <si>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</si>
  <si>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</si>
  <si>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Exam Score (Y)</t>
  </si>
  <si>
    <t>Residuals</t>
  </si>
  <si>
    <t>DATA</t>
  </si>
  <si>
    <t>MEAN</t>
  </si>
  <si>
    <t>STANDARD DEV</t>
  </si>
  <si>
    <t>Z SCORE</t>
  </si>
  <si>
    <t>Outlier?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</si>
</sst>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0" fontId="3" fillId="4" borderId="0" xfId="0" applyFont="1" applyFill="1"/>
    <xf numFmtId="0" fontId="4" fillId="5" borderId="2" xfId="0" applyFont="1" applyFill="1" applyBorder="1" applyAlignment="1">
      <alignment horizontal="centerContinuous"/>
    </xf>
    <xf numFmtId="0" fontId="0" fillId="6" borderId="0" xfId="0" applyFill="1"/>
    <xf numFmtId="0" fontId="0" fillId="2" borderId="0" xfId="0" applyFill="1"/>
    <xf numFmtId="0" fontId="3" fillId="2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Hours Studied (X)  Residual Plot</a:t>
            </a:r>
          </a:p>
        </c:rich>
      </c:tx>
      <c:layout>
        <c:manualLayout>
          <c:xMode val="edge"/>
          <c:yMode val="edge"/>
          <c:x val="0.14069444444444446"/>
          <c:y val="3.4188034188034191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'QUESTION 4'!$A$2:$A$31</c:f>
              <c:numCache>
                <c:formatCode>General</c:formatCode>
                <c:ptCount val="30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28</c:v>
                </c:pt>
                <c:pt idx="4">
                  <c:v>30</c:v>
                </c:pt>
                <c:pt idx="5">
                  <c:v>32</c:v>
                </c:pt>
                <c:pt idx="6">
                  <c:v>35</c:v>
                </c:pt>
                <c:pt idx="7">
                  <c:v>38</c:v>
                </c:pt>
                <c:pt idx="8">
                  <c:v>40</c:v>
                </c:pt>
                <c:pt idx="9">
                  <c:v>42</c:v>
                </c:pt>
                <c:pt idx="10">
                  <c:v>45</c:v>
                </c:pt>
                <c:pt idx="11">
                  <c:v>48</c:v>
                </c:pt>
                <c:pt idx="12">
                  <c:v>50</c:v>
                </c:pt>
                <c:pt idx="13">
                  <c:v>52</c:v>
                </c:pt>
                <c:pt idx="14">
                  <c:v>55</c:v>
                </c:pt>
                <c:pt idx="15">
                  <c:v>58</c:v>
                </c:pt>
                <c:pt idx="16">
                  <c:v>60</c:v>
                </c:pt>
                <c:pt idx="17">
                  <c:v>62</c:v>
                </c:pt>
                <c:pt idx="18">
                  <c:v>65</c:v>
                </c:pt>
                <c:pt idx="19">
                  <c:v>68</c:v>
                </c:pt>
                <c:pt idx="20">
                  <c:v>70</c:v>
                </c:pt>
                <c:pt idx="21">
                  <c:v>72</c:v>
                </c:pt>
                <c:pt idx="22">
                  <c:v>75</c:v>
                </c:pt>
                <c:pt idx="23">
                  <c:v>78</c:v>
                </c:pt>
                <c:pt idx="24">
                  <c:v>80</c:v>
                </c:pt>
                <c:pt idx="25">
                  <c:v>82</c:v>
                </c:pt>
                <c:pt idx="26">
                  <c:v>85</c:v>
                </c:pt>
                <c:pt idx="27">
                  <c:v>88</c:v>
                </c:pt>
                <c:pt idx="28">
                  <c:v>90</c:v>
                </c:pt>
                <c:pt idx="29">
                  <c:v>95</c:v>
                </c:pt>
              </c:numCache>
            </c:numRef>
          </c:xVal>
          <c:yVal>
            <c:numRef>
              <c:f>'QUESTION 4'!$F$25:$F$54</c:f>
              <c:numCache>
                <c:formatCode>General</c:formatCode>
                <c:ptCount val="30"/>
                <c:pt idx="0">
                  <c:v>-3.9350413377551448</c:v>
                </c:pt>
                <c:pt idx="1">
                  <c:v>-2.3441216310897204</c:v>
                </c:pt>
                <c:pt idx="2">
                  <c:v>-2.4577420710915874</c:v>
                </c:pt>
                <c:pt idx="3">
                  <c:v>-0.57136251109345437</c:v>
                </c:pt>
                <c:pt idx="4">
                  <c:v>-0.98044280442803711</c:v>
                </c:pt>
                <c:pt idx="5">
                  <c:v>0.61047690223738016</c:v>
                </c:pt>
                <c:pt idx="6">
                  <c:v>0.49685646223551316</c:v>
                </c:pt>
                <c:pt idx="7">
                  <c:v>0.38323602223364617</c:v>
                </c:pt>
                <c:pt idx="8">
                  <c:v>0.97415572889906343</c:v>
                </c:pt>
                <c:pt idx="9">
                  <c:v>0.56507543556449491</c:v>
                </c:pt>
                <c:pt idx="10">
                  <c:v>1.4514549955626137</c:v>
                </c:pt>
                <c:pt idx="11">
                  <c:v>1.3378345555607609</c:v>
                </c:pt>
                <c:pt idx="12">
                  <c:v>1.928754262226164</c:v>
                </c:pt>
                <c:pt idx="13">
                  <c:v>1.5196739688915955</c:v>
                </c:pt>
                <c:pt idx="14">
                  <c:v>1.4060535288897285</c:v>
                </c:pt>
                <c:pt idx="15">
                  <c:v>1.2924330888878615</c:v>
                </c:pt>
                <c:pt idx="16">
                  <c:v>0.88335279555327872</c:v>
                </c:pt>
                <c:pt idx="17">
                  <c:v>1.474272502218696</c:v>
                </c:pt>
                <c:pt idx="18">
                  <c:v>1.360652062216829</c:v>
                </c:pt>
                <c:pt idx="19">
                  <c:v>1.247031622214962</c:v>
                </c:pt>
                <c:pt idx="20">
                  <c:v>0.83795132888039348</c:v>
                </c:pt>
                <c:pt idx="21">
                  <c:v>1.4288710355457965</c:v>
                </c:pt>
                <c:pt idx="22">
                  <c:v>0.31525059554394375</c:v>
                </c:pt>
                <c:pt idx="23">
                  <c:v>0.20163015554206254</c:v>
                </c:pt>
                <c:pt idx="24">
                  <c:v>-0.20745013779250598</c:v>
                </c:pt>
                <c:pt idx="25">
                  <c:v>-0.61653043112708872</c:v>
                </c:pt>
                <c:pt idx="26">
                  <c:v>-0.73015087112895571</c:v>
                </c:pt>
                <c:pt idx="27">
                  <c:v>-1.8437713111308369</c:v>
                </c:pt>
                <c:pt idx="28">
                  <c:v>-2.2528516044654054</c:v>
                </c:pt>
                <c:pt idx="29">
                  <c:v>-3.7755523378018552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D1-4861-82AD-7AA86C958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35584"/>
        <c:axId val="145631264"/>
      </c:scatterChart>
      <c:valAx>
        <c:axId val="145635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Hours Studied 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5631264"/>
        <c:crosses val="autoZero"/>
        <c:crossBetween val="midCat"/>
      </c:valAx>
      <c:valAx>
        <c:axId val="145631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563558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Hours Studied (X)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Exam Score (Y)</c:v>
          </c:tx>
          <c:spPr>
            <a:ln w="38100">
              <a:noFill/>
            </a:ln>
          </c:spPr>
          <c:xVal>
            <c:numRef>
              <c:f>'QUESTION 4'!$A$2:$A$31</c:f>
              <c:numCache>
                <c:formatCode>General</c:formatCode>
                <c:ptCount val="30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28</c:v>
                </c:pt>
                <c:pt idx="4">
                  <c:v>30</c:v>
                </c:pt>
                <c:pt idx="5">
                  <c:v>32</c:v>
                </c:pt>
                <c:pt idx="6">
                  <c:v>35</c:v>
                </c:pt>
                <c:pt idx="7">
                  <c:v>38</c:v>
                </c:pt>
                <c:pt idx="8">
                  <c:v>40</c:v>
                </c:pt>
                <c:pt idx="9">
                  <c:v>42</c:v>
                </c:pt>
                <c:pt idx="10">
                  <c:v>45</c:v>
                </c:pt>
                <c:pt idx="11">
                  <c:v>48</c:v>
                </c:pt>
                <c:pt idx="12">
                  <c:v>50</c:v>
                </c:pt>
                <c:pt idx="13">
                  <c:v>52</c:v>
                </c:pt>
                <c:pt idx="14">
                  <c:v>55</c:v>
                </c:pt>
                <c:pt idx="15">
                  <c:v>58</c:v>
                </c:pt>
                <c:pt idx="16">
                  <c:v>60</c:v>
                </c:pt>
                <c:pt idx="17">
                  <c:v>62</c:v>
                </c:pt>
                <c:pt idx="18">
                  <c:v>65</c:v>
                </c:pt>
                <c:pt idx="19">
                  <c:v>68</c:v>
                </c:pt>
                <c:pt idx="20">
                  <c:v>70</c:v>
                </c:pt>
                <c:pt idx="21">
                  <c:v>72</c:v>
                </c:pt>
                <c:pt idx="22">
                  <c:v>75</c:v>
                </c:pt>
                <c:pt idx="23">
                  <c:v>78</c:v>
                </c:pt>
                <c:pt idx="24">
                  <c:v>80</c:v>
                </c:pt>
                <c:pt idx="25">
                  <c:v>82</c:v>
                </c:pt>
                <c:pt idx="26">
                  <c:v>85</c:v>
                </c:pt>
                <c:pt idx="27">
                  <c:v>88</c:v>
                </c:pt>
                <c:pt idx="28">
                  <c:v>90</c:v>
                </c:pt>
                <c:pt idx="29">
                  <c:v>95</c:v>
                </c:pt>
              </c:numCache>
            </c:numRef>
          </c:xVal>
          <c:yVal>
            <c:numRef>
              <c:f>'QUESTION 4'!$B$2:$B$31</c:f>
              <c:numCache>
                <c:formatCode>General</c:formatCode>
                <c:ptCount val="30"/>
                <c:pt idx="0">
                  <c:v>45</c:v>
                </c:pt>
                <c:pt idx="1">
                  <c:v>48</c:v>
                </c:pt>
                <c:pt idx="2">
                  <c:v>50</c:v>
                </c:pt>
                <c:pt idx="3">
                  <c:v>54</c:v>
                </c:pt>
                <c:pt idx="4">
                  <c:v>55</c:v>
                </c:pt>
                <c:pt idx="5">
                  <c:v>58</c:v>
                </c:pt>
                <c:pt idx="6">
                  <c:v>60</c:v>
                </c:pt>
                <c:pt idx="7">
                  <c:v>62</c:v>
                </c:pt>
                <c:pt idx="8">
                  <c:v>64</c:v>
                </c:pt>
                <c:pt idx="9">
                  <c:v>65</c:v>
                </c:pt>
                <c:pt idx="10">
                  <c:v>68</c:v>
                </c:pt>
                <c:pt idx="11">
                  <c:v>70</c:v>
                </c:pt>
                <c:pt idx="12">
                  <c:v>72</c:v>
                </c:pt>
                <c:pt idx="13">
                  <c:v>73</c:v>
                </c:pt>
                <c:pt idx="14">
                  <c:v>75</c:v>
                </c:pt>
                <c:pt idx="15">
                  <c:v>77</c:v>
                </c:pt>
                <c:pt idx="16">
                  <c:v>78</c:v>
                </c:pt>
                <c:pt idx="17">
                  <c:v>80</c:v>
                </c:pt>
                <c:pt idx="18">
                  <c:v>82</c:v>
                </c:pt>
                <c:pt idx="19">
                  <c:v>84</c:v>
                </c:pt>
                <c:pt idx="20">
                  <c:v>85</c:v>
                </c:pt>
                <c:pt idx="21">
                  <c:v>87</c:v>
                </c:pt>
                <c:pt idx="22">
                  <c:v>88</c:v>
                </c:pt>
                <c:pt idx="23">
                  <c:v>90</c:v>
                </c:pt>
                <c:pt idx="24">
                  <c:v>91</c:v>
                </c:pt>
                <c:pt idx="25">
                  <c:v>92</c:v>
                </c:pt>
                <c:pt idx="26">
                  <c:v>94</c:v>
                </c:pt>
                <c:pt idx="27">
                  <c:v>95</c:v>
                </c:pt>
                <c:pt idx="28">
                  <c:v>96</c:v>
                </c:pt>
                <c:pt idx="29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FC-49EC-BDE8-794B02FB11EF}"/>
            </c:ext>
          </c:extLst>
        </c:ser>
        <c:ser>
          <c:idx val="1"/>
          <c:order val="1"/>
          <c:tx>
            <c:v>Predicted Exam Score (Y)</c:v>
          </c:tx>
          <c:spPr>
            <a:ln w="38100">
              <a:noFill/>
            </a:ln>
          </c:spPr>
          <c:xVal>
            <c:numRef>
              <c:f>'QUESTION 4'!$A$2:$A$31</c:f>
              <c:numCache>
                <c:formatCode>General</c:formatCode>
                <c:ptCount val="30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28</c:v>
                </c:pt>
                <c:pt idx="4">
                  <c:v>30</c:v>
                </c:pt>
                <c:pt idx="5">
                  <c:v>32</c:v>
                </c:pt>
                <c:pt idx="6">
                  <c:v>35</c:v>
                </c:pt>
                <c:pt idx="7">
                  <c:v>38</c:v>
                </c:pt>
                <c:pt idx="8">
                  <c:v>40</c:v>
                </c:pt>
                <c:pt idx="9">
                  <c:v>42</c:v>
                </c:pt>
                <c:pt idx="10">
                  <c:v>45</c:v>
                </c:pt>
                <c:pt idx="11">
                  <c:v>48</c:v>
                </c:pt>
                <c:pt idx="12">
                  <c:v>50</c:v>
                </c:pt>
                <c:pt idx="13">
                  <c:v>52</c:v>
                </c:pt>
                <c:pt idx="14">
                  <c:v>55</c:v>
                </c:pt>
                <c:pt idx="15">
                  <c:v>58</c:v>
                </c:pt>
                <c:pt idx="16">
                  <c:v>60</c:v>
                </c:pt>
                <c:pt idx="17">
                  <c:v>62</c:v>
                </c:pt>
                <c:pt idx="18">
                  <c:v>65</c:v>
                </c:pt>
                <c:pt idx="19">
                  <c:v>68</c:v>
                </c:pt>
                <c:pt idx="20">
                  <c:v>70</c:v>
                </c:pt>
                <c:pt idx="21">
                  <c:v>72</c:v>
                </c:pt>
                <c:pt idx="22">
                  <c:v>75</c:v>
                </c:pt>
                <c:pt idx="23">
                  <c:v>78</c:v>
                </c:pt>
                <c:pt idx="24">
                  <c:v>80</c:v>
                </c:pt>
                <c:pt idx="25">
                  <c:v>82</c:v>
                </c:pt>
                <c:pt idx="26">
                  <c:v>85</c:v>
                </c:pt>
                <c:pt idx="27">
                  <c:v>88</c:v>
                </c:pt>
                <c:pt idx="28">
                  <c:v>90</c:v>
                </c:pt>
                <c:pt idx="29">
                  <c:v>95</c:v>
                </c:pt>
              </c:numCache>
            </c:numRef>
          </c:xVal>
          <c:yVal>
            <c:numRef>
              <c:f>'QUESTION 4'!$E$25:$E$54</c:f>
              <c:numCache>
                <c:formatCode>General</c:formatCode>
                <c:ptCount val="30"/>
                <c:pt idx="0">
                  <c:v>48.935041337755145</c:v>
                </c:pt>
                <c:pt idx="1">
                  <c:v>50.34412163108972</c:v>
                </c:pt>
                <c:pt idx="2">
                  <c:v>52.457742071091587</c:v>
                </c:pt>
                <c:pt idx="3">
                  <c:v>54.571362511093454</c:v>
                </c:pt>
                <c:pt idx="4">
                  <c:v>55.980442804428037</c:v>
                </c:pt>
                <c:pt idx="5">
                  <c:v>57.38952309776262</c:v>
                </c:pt>
                <c:pt idx="6">
                  <c:v>59.503143537764487</c:v>
                </c:pt>
                <c:pt idx="7">
                  <c:v>61.616763977766354</c:v>
                </c:pt>
                <c:pt idx="8">
                  <c:v>63.025844271100937</c:v>
                </c:pt>
                <c:pt idx="9">
                  <c:v>64.434924564435505</c:v>
                </c:pt>
                <c:pt idx="10">
                  <c:v>66.548545004437386</c:v>
                </c:pt>
                <c:pt idx="11">
                  <c:v>68.662165444439239</c:v>
                </c:pt>
                <c:pt idx="12">
                  <c:v>70.071245737773836</c:v>
                </c:pt>
                <c:pt idx="13">
                  <c:v>71.480326031108405</c:v>
                </c:pt>
                <c:pt idx="14">
                  <c:v>73.593946471110272</c:v>
                </c:pt>
                <c:pt idx="15">
                  <c:v>75.707566911112139</c:v>
                </c:pt>
                <c:pt idx="16">
                  <c:v>77.116647204446721</c:v>
                </c:pt>
                <c:pt idx="17">
                  <c:v>78.525727497781304</c:v>
                </c:pt>
                <c:pt idx="18">
                  <c:v>80.639347937783171</c:v>
                </c:pt>
                <c:pt idx="19">
                  <c:v>82.752968377785038</c:v>
                </c:pt>
                <c:pt idx="20">
                  <c:v>84.162048671119607</c:v>
                </c:pt>
                <c:pt idx="21">
                  <c:v>85.571128964454203</c:v>
                </c:pt>
                <c:pt idx="22">
                  <c:v>87.684749404456056</c:v>
                </c:pt>
                <c:pt idx="23">
                  <c:v>89.798369844457937</c:v>
                </c:pt>
                <c:pt idx="24">
                  <c:v>91.207450137792506</c:v>
                </c:pt>
                <c:pt idx="25">
                  <c:v>92.616530431127089</c:v>
                </c:pt>
                <c:pt idx="26">
                  <c:v>94.730150871128956</c:v>
                </c:pt>
                <c:pt idx="27">
                  <c:v>96.843771311130837</c:v>
                </c:pt>
                <c:pt idx="28">
                  <c:v>98.252851604465405</c:v>
                </c:pt>
                <c:pt idx="29">
                  <c:v>101.77555233780186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FC-49EC-BDE8-794B02FB1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35584"/>
        <c:axId val="145632704"/>
      </c:scatterChart>
      <c:valAx>
        <c:axId val="145635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Hours Studied 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5632704"/>
        <c:crosses val="autoZero"/>
        <c:crossBetween val="midCat"/>
      </c:valAx>
      <c:valAx>
        <c:axId val="1456327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Exam Score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56355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0</xdr:row>
      <xdr:rowOff>95250</xdr:rowOff>
    </xdr:from>
    <xdr:to>
      <xdr:col>10</xdr:col>
      <xdr:colOff>361950</xdr:colOff>
      <xdr:row>10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D1111-5B3B-5CEA-9F8C-06A51614C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577850</xdr:colOff>
      <xdr:row>0</xdr:row>
      <xdr:rowOff>95250</xdr:rowOff>
    </xdr:from>
    <xdr:to>
      <xdr:col>16</xdr:col>
      <xdr:colOff>577850</xdr:colOff>
      <xdr:row>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BEA9E8-C6DA-2754-C240-EF6AD8E82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A0C2-6658-4FA1-99D7-8BC6813A4F8C}">
  <dimension ref="A1:E10"/>
  <sheetViews>
    <sheetView workbookViewId="0">
      <selection activeCell="H8" sqref="H8"/>
    </sheetView>
  </sheetViews>
  <sheetFormatPr defaultRowHeight="14.5" x14ac:dyDescent="0.35"/>
  <cols>
    <col min="3" max="3" width="13.7265625" customWidth="1"/>
  </cols>
  <sheetData>
    <row r="1" spans="1:5" x14ac:dyDescent="0.35">
      <c r="A1" s="13" t="s">
        <v>30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35">
      <c r="A2">
        <v>10</v>
      </c>
      <c r="B2">
        <f>AVERAGE(A2:A10)</f>
        <v>16.111111111111111</v>
      </c>
      <c r="C2">
        <f>_xlfn.STDEV.P(A2:A10)</f>
        <v>12.050306076743855</v>
      </c>
      <c r="D2">
        <f>(A2-$B$2)/$C$2</f>
        <v>-0.50713326883082877</v>
      </c>
      <c r="E2" t="str">
        <f>IF(ABS(D2)&gt;3,"Yes","No")</f>
        <v>No</v>
      </c>
    </row>
    <row r="3" spans="1:5" x14ac:dyDescent="0.35">
      <c r="A3">
        <v>12</v>
      </c>
      <c r="D3">
        <f t="shared" ref="D3:D10" si="0">(A3-$B$2)/$C$2</f>
        <v>-0.34116238084983025</v>
      </c>
      <c r="E3" t="str">
        <f t="shared" ref="E3:E10" si="1">IF(ABS(D3)&gt;3,"Yes","No")</f>
        <v>No</v>
      </c>
    </row>
    <row r="4" spans="1:5" x14ac:dyDescent="0.35">
      <c r="A4">
        <v>13</v>
      </c>
      <c r="D4">
        <f t="shared" si="0"/>
        <v>-0.25817693685933096</v>
      </c>
      <c r="E4" t="str">
        <f t="shared" si="1"/>
        <v>No</v>
      </c>
    </row>
    <row r="5" spans="1:5" x14ac:dyDescent="0.35">
      <c r="A5">
        <v>11</v>
      </c>
      <c r="D5">
        <f t="shared" si="0"/>
        <v>-0.42414782484032948</v>
      </c>
      <c r="E5" t="str">
        <f t="shared" si="1"/>
        <v>No</v>
      </c>
    </row>
    <row r="6" spans="1:5" x14ac:dyDescent="0.35">
      <c r="A6">
        <v>14</v>
      </c>
      <c r="D6">
        <f t="shared" si="0"/>
        <v>-0.17519149286883173</v>
      </c>
      <c r="E6" t="str">
        <f t="shared" si="1"/>
        <v>No</v>
      </c>
    </row>
    <row r="7" spans="1:5" x14ac:dyDescent="0.35">
      <c r="A7">
        <v>12</v>
      </c>
      <c r="D7">
        <f t="shared" si="0"/>
        <v>-0.34116238084983025</v>
      </c>
      <c r="E7" t="str">
        <f t="shared" si="1"/>
        <v>No</v>
      </c>
    </row>
    <row r="8" spans="1:5" x14ac:dyDescent="0.35">
      <c r="A8">
        <v>13</v>
      </c>
      <c r="D8">
        <f t="shared" si="0"/>
        <v>-0.25817693685933096</v>
      </c>
      <c r="E8" t="str">
        <f t="shared" si="1"/>
        <v>No</v>
      </c>
    </row>
    <row r="9" spans="1:5" x14ac:dyDescent="0.35">
      <c r="A9">
        <v>10</v>
      </c>
      <c r="D9">
        <f t="shared" si="0"/>
        <v>-0.50713326883082877</v>
      </c>
      <c r="E9" t="str">
        <f t="shared" si="1"/>
        <v>No</v>
      </c>
    </row>
    <row r="10" spans="1:5" x14ac:dyDescent="0.35">
      <c r="A10">
        <v>50</v>
      </c>
      <c r="D10">
        <f t="shared" si="0"/>
        <v>2.8122844907891413</v>
      </c>
      <c r="E10" t="str">
        <f t="shared" si="1"/>
        <v>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0341-8057-438A-9C66-B802470FDC1A}">
  <dimension ref="A1:L69"/>
  <sheetViews>
    <sheetView topLeftCell="A15" workbookViewId="0">
      <selection sqref="A1:B31"/>
    </sheetView>
  </sheetViews>
  <sheetFormatPr defaultRowHeight="14.5" x14ac:dyDescent="0.35"/>
  <cols>
    <col min="4" max="4" width="12.1796875" customWidth="1"/>
    <col min="5" max="5" width="14.90625" customWidth="1"/>
    <col min="6" max="6" width="12.90625" customWidth="1"/>
    <col min="7" max="7" width="11" customWidth="1"/>
    <col min="8" max="8" width="12.90625" customWidth="1"/>
    <col min="9" max="9" width="12.36328125" customWidth="1"/>
    <col min="10" max="10" width="11.36328125" customWidth="1"/>
    <col min="11" max="11" width="13.453125" customWidth="1"/>
    <col min="12" max="13" width="13.6328125" customWidth="1"/>
  </cols>
  <sheetData>
    <row r="1" spans="1:12" ht="43.5" x14ac:dyDescent="0.35">
      <c r="A1" s="3" t="s">
        <v>0</v>
      </c>
      <c r="B1" s="2" t="s">
        <v>1</v>
      </c>
      <c r="D1" s="8" t="s">
        <v>2</v>
      </c>
      <c r="E1" s="8"/>
    </row>
    <row r="2" spans="1:12" ht="15" thickBot="1" x14ac:dyDescent="0.4">
      <c r="A2" s="1">
        <v>20</v>
      </c>
      <c r="B2" s="1">
        <v>45</v>
      </c>
    </row>
    <row r="3" spans="1:12" x14ac:dyDescent="0.35">
      <c r="A3" s="1">
        <v>22</v>
      </c>
      <c r="B3" s="1">
        <v>48</v>
      </c>
      <c r="D3" s="9" t="s">
        <v>3</v>
      </c>
      <c r="E3" s="9"/>
    </row>
    <row r="4" spans="1:12" x14ac:dyDescent="0.35">
      <c r="A4" s="1">
        <v>25</v>
      </c>
      <c r="B4" s="1">
        <v>50</v>
      </c>
      <c r="D4" s="4" t="s">
        <v>4</v>
      </c>
      <c r="E4" s="4">
        <v>0.99462030173510918</v>
      </c>
    </row>
    <row r="5" spans="1:12" x14ac:dyDescent="0.35">
      <c r="A5" s="1">
        <v>28</v>
      </c>
      <c r="B5" s="1">
        <v>54</v>
      </c>
      <c r="D5" s="4" t="s">
        <v>5</v>
      </c>
      <c r="E5" s="4">
        <v>0.98926954462363959</v>
      </c>
    </row>
    <row r="6" spans="1:12" x14ac:dyDescent="0.35">
      <c r="A6" s="1">
        <v>30</v>
      </c>
      <c r="B6" s="1">
        <v>55</v>
      </c>
      <c r="D6" s="4" t="s">
        <v>6</v>
      </c>
      <c r="E6" s="4">
        <v>0.9888863140744838</v>
      </c>
    </row>
    <row r="7" spans="1:12" x14ac:dyDescent="0.35">
      <c r="A7" s="1">
        <v>32</v>
      </c>
      <c r="B7" s="1">
        <v>58</v>
      </c>
      <c r="D7" s="4" t="s">
        <v>7</v>
      </c>
      <c r="E7" s="4">
        <v>1.6566510807732331</v>
      </c>
    </row>
    <row r="8" spans="1:12" ht="15" thickBot="1" x14ac:dyDescent="0.4">
      <c r="A8" s="1">
        <v>35</v>
      </c>
      <c r="B8" s="1">
        <v>60</v>
      </c>
      <c r="D8" s="5" t="s">
        <v>8</v>
      </c>
      <c r="E8" s="5">
        <v>30</v>
      </c>
    </row>
    <row r="9" spans="1:12" x14ac:dyDescent="0.35">
      <c r="A9" s="1">
        <v>38</v>
      </c>
      <c r="B9" s="1">
        <v>62</v>
      </c>
    </row>
    <row r="10" spans="1:12" ht="15" thickBot="1" x14ac:dyDescent="0.4">
      <c r="A10" s="1">
        <v>40</v>
      </c>
      <c r="B10" s="1">
        <v>64</v>
      </c>
      <c r="D10" s="10" t="s">
        <v>9</v>
      </c>
    </row>
    <row r="11" spans="1:12" x14ac:dyDescent="0.35">
      <c r="A11" s="1">
        <v>42</v>
      </c>
      <c r="B11" s="1">
        <v>65</v>
      </c>
      <c r="D11" s="6"/>
      <c r="E11" s="6" t="s">
        <v>14</v>
      </c>
      <c r="F11" s="6" t="s">
        <v>15</v>
      </c>
      <c r="G11" s="6" t="s">
        <v>16</v>
      </c>
      <c r="H11" s="6" t="s">
        <v>17</v>
      </c>
      <c r="I11" s="6" t="s">
        <v>18</v>
      </c>
    </row>
    <row r="12" spans="1:12" x14ac:dyDescent="0.35">
      <c r="A12" s="1">
        <v>45</v>
      </c>
      <c r="B12" s="1">
        <v>68</v>
      </c>
      <c r="D12" s="4" t="s">
        <v>10</v>
      </c>
      <c r="E12" s="4">
        <v>1</v>
      </c>
      <c r="F12" s="4">
        <v>7084.6208681707076</v>
      </c>
      <c r="G12" s="4">
        <v>7084.6208681707076</v>
      </c>
      <c r="H12" s="4">
        <v>2581.3953162216176</v>
      </c>
      <c r="I12" s="4">
        <v>4.0301774304609415E-29</v>
      </c>
    </row>
    <row r="13" spans="1:12" x14ac:dyDescent="0.35">
      <c r="A13" s="1">
        <v>48</v>
      </c>
      <c r="B13" s="1">
        <v>70</v>
      </c>
      <c r="D13" s="4" t="s">
        <v>11</v>
      </c>
      <c r="E13" s="4">
        <v>28</v>
      </c>
      <c r="F13" s="4">
        <v>76.8457984959594</v>
      </c>
      <c r="G13" s="4">
        <v>2.7444928034271214</v>
      </c>
      <c r="H13" s="4"/>
      <c r="I13" s="4"/>
    </row>
    <row r="14" spans="1:12" ht="15" thickBot="1" x14ac:dyDescent="0.4">
      <c r="A14" s="1">
        <v>50</v>
      </c>
      <c r="B14" s="1">
        <v>72</v>
      </c>
      <c r="D14" s="5" t="s">
        <v>12</v>
      </c>
      <c r="E14" s="5">
        <v>29</v>
      </c>
      <c r="F14" s="5">
        <v>7161.4666666666672</v>
      </c>
      <c r="G14" s="5"/>
      <c r="H14" s="5"/>
      <c r="I14" s="5"/>
    </row>
    <row r="15" spans="1:12" ht="15" thickBot="1" x14ac:dyDescent="0.4">
      <c r="A15" s="1">
        <v>52</v>
      </c>
      <c r="B15" s="1">
        <v>73</v>
      </c>
    </row>
    <row r="16" spans="1:12" x14ac:dyDescent="0.35">
      <c r="A16" s="1">
        <v>55</v>
      </c>
      <c r="B16" s="1">
        <v>75</v>
      </c>
      <c r="D16" s="6"/>
      <c r="E16" s="6" t="s">
        <v>19</v>
      </c>
      <c r="F16" s="6" t="s">
        <v>7</v>
      </c>
      <c r="G16" s="6" t="s">
        <v>20</v>
      </c>
      <c r="H16" s="6" t="s">
        <v>21</v>
      </c>
      <c r="I16" s="6" t="s">
        <v>22</v>
      </c>
      <c r="J16" s="6" t="s">
        <v>23</v>
      </c>
      <c r="K16" s="6" t="s">
        <v>24</v>
      </c>
      <c r="L16" s="6" t="s">
        <v>25</v>
      </c>
    </row>
    <row r="17" spans="1:12" x14ac:dyDescent="0.35">
      <c r="A17" s="1">
        <v>58</v>
      </c>
      <c r="B17" s="1">
        <v>77</v>
      </c>
      <c r="D17" s="4" t="s">
        <v>13</v>
      </c>
      <c r="E17" s="4">
        <v>34.844238404409353</v>
      </c>
      <c r="F17" s="4">
        <v>0.83767840508520197</v>
      </c>
      <c r="G17" s="4">
        <v>41.596199917395836</v>
      </c>
      <c r="H17" s="4">
        <v>1.0158769541071346E-26</v>
      </c>
      <c r="I17" s="4">
        <v>33.128331976905173</v>
      </c>
      <c r="J17" s="4">
        <v>36.560144831913533</v>
      </c>
      <c r="K17" s="4">
        <v>33.128331976905173</v>
      </c>
      <c r="L17" s="4">
        <v>36.560144831913533</v>
      </c>
    </row>
    <row r="18" spans="1:12" ht="15" thickBot="1" x14ac:dyDescent="0.4">
      <c r="A18" s="1">
        <v>60</v>
      </c>
      <c r="B18" s="1">
        <v>78</v>
      </c>
      <c r="D18" s="5" t="s">
        <v>0</v>
      </c>
      <c r="E18" s="5">
        <v>0.70454014666728948</v>
      </c>
      <c r="F18" s="5">
        <v>1.3866871356484024E-2</v>
      </c>
      <c r="G18" s="5">
        <v>50.807433670887335</v>
      </c>
      <c r="H18" s="5">
        <v>4.0301774304609415E-29</v>
      </c>
      <c r="I18" s="5">
        <v>0.67613514834631172</v>
      </c>
      <c r="J18" s="5">
        <v>0.73294514498826724</v>
      </c>
      <c r="K18" s="5">
        <v>0.67613514834631172</v>
      </c>
      <c r="L18" s="5">
        <v>0.73294514498826724</v>
      </c>
    </row>
    <row r="19" spans="1:12" x14ac:dyDescent="0.35">
      <c r="A19" s="1">
        <v>62</v>
      </c>
      <c r="B19" s="1">
        <v>80</v>
      </c>
    </row>
    <row r="20" spans="1:12" x14ac:dyDescent="0.35">
      <c r="A20" s="1">
        <v>65</v>
      </c>
      <c r="B20" s="1">
        <v>82</v>
      </c>
    </row>
    <row r="21" spans="1:12" x14ac:dyDescent="0.35">
      <c r="A21" s="1">
        <v>68</v>
      </c>
      <c r="B21" s="1">
        <v>84</v>
      </c>
    </row>
    <row r="22" spans="1:12" x14ac:dyDescent="0.35">
      <c r="A22" s="1">
        <v>70</v>
      </c>
      <c r="B22" s="1">
        <v>85</v>
      </c>
      <c r="D22" s="12" t="s">
        <v>26</v>
      </c>
      <c r="E22" s="11"/>
    </row>
    <row r="23" spans="1:12" ht="15" thickBot="1" x14ac:dyDescent="0.4">
      <c r="A23" s="1">
        <v>72</v>
      </c>
      <c r="B23" s="1">
        <v>87</v>
      </c>
    </row>
    <row r="24" spans="1:12" x14ac:dyDescent="0.35">
      <c r="A24" s="1">
        <v>75</v>
      </c>
      <c r="B24" s="1">
        <v>88</v>
      </c>
      <c r="D24" s="6" t="s">
        <v>27</v>
      </c>
      <c r="E24" s="6" t="s">
        <v>28</v>
      </c>
      <c r="F24" s="6" t="s">
        <v>29</v>
      </c>
    </row>
    <row r="25" spans="1:12" x14ac:dyDescent="0.35">
      <c r="A25" s="1">
        <v>78</v>
      </c>
      <c r="B25" s="1">
        <v>90</v>
      </c>
      <c r="D25" s="4">
        <v>1</v>
      </c>
      <c r="E25" s="4">
        <v>48.935041337755145</v>
      </c>
      <c r="F25" s="4">
        <v>-3.9350413377551448</v>
      </c>
    </row>
    <row r="26" spans="1:12" x14ac:dyDescent="0.35">
      <c r="A26" s="1">
        <v>80</v>
      </c>
      <c r="B26" s="1">
        <v>91</v>
      </c>
      <c r="D26" s="4">
        <v>2</v>
      </c>
      <c r="E26" s="4">
        <v>50.34412163108972</v>
      </c>
      <c r="F26" s="4">
        <v>-2.3441216310897204</v>
      </c>
    </row>
    <row r="27" spans="1:12" x14ac:dyDescent="0.35">
      <c r="A27" s="1">
        <v>82</v>
      </c>
      <c r="B27" s="1">
        <v>92</v>
      </c>
      <c r="D27" s="4">
        <v>3</v>
      </c>
      <c r="E27" s="4">
        <v>52.457742071091587</v>
      </c>
      <c r="F27" s="4">
        <v>-2.4577420710915874</v>
      </c>
    </row>
    <row r="28" spans="1:12" x14ac:dyDescent="0.35">
      <c r="A28" s="1">
        <v>85</v>
      </c>
      <c r="B28" s="1">
        <v>94</v>
      </c>
      <c r="D28" s="4">
        <v>4</v>
      </c>
      <c r="E28" s="4">
        <v>54.571362511093454</v>
      </c>
      <c r="F28" s="4">
        <v>-0.57136251109345437</v>
      </c>
    </row>
    <row r="29" spans="1:12" x14ac:dyDescent="0.35">
      <c r="A29" s="1">
        <v>88</v>
      </c>
      <c r="B29" s="1">
        <v>95</v>
      </c>
      <c r="D29" s="4">
        <v>5</v>
      </c>
      <c r="E29" s="4">
        <v>55.980442804428037</v>
      </c>
      <c r="F29" s="4">
        <v>-0.98044280442803711</v>
      </c>
    </row>
    <row r="30" spans="1:12" x14ac:dyDescent="0.35">
      <c r="A30" s="1">
        <v>90</v>
      </c>
      <c r="B30" s="1">
        <v>96</v>
      </c>
      <c r="D30" s="4">
        <v>6</v>
      </c>
      <c r="E30" s="4">
        <v>57.38952309776262</v>
      </c>
      <c r="F30" s="4">
        <v>0.61047690223738016</v>
      </c>
    </row>
    <row r="31" spans="1:12" x14ac:dyDescent="0.35">
      <c r="A31" s="1">
        <v>95</v>
      </c>
      <c r="B31" s="1">
        <v>98</v>
      </c>
      <c r="D31" s="4">
        <v>7</v>
      </c>
      <c r="E31" s="4">
        <v>59.503143537764487</v>
      </c>
      <c r="F31" s="4">
        <v>0.49685646223551316</v>
      </c>
    </row>
    <row r="32" spans="1:12" x14ac:dyDescent="0.35">
      <c r="D32" s="4">
        <v>8</v>
      </c>
      <c r="E32" s="4">
        <v>61.616763977766354</v>
      </c>
      <c r="F32" s="4">
        <v>0.38323602223364617</v>
      </c>
    </row>
    <row r="33" spans="4:6" x14ac:dyDescent="0.35">
      <c r="D33" s="4">
        <v>9</v>
      </c>
      <c r="E33" s="4">
        <v>63.025844271100937</v>
      </c>
      <c r="F33" s="4">
        <v>0.97415572889906343</v>
      </c>
    </row>
    <row r="34" spans="4:6" x14ac:dyDescent="0.35">
      <c r="D34" s="4">
        <v>10</v>
      </c>
      <c r="E34" s="4">
        <v>64.434924564435505</v>
      </c>
      <c r="F34" s="4">
        <v>0.56507543556449491</v>
      </c>
    </row>
    <row r="35" spans="4:6" x14ac:dyDescent="0.35">
      <c r="D35" s="4">
        <v>11</v>
      </c>
      <c r="E35" s="4">
        <v>66.548545004437386</v>
      </c>
      <c r="F35" s="4">
        <v>1.4514549955626137</v>
      </c>
    </row>
    <row r="36" spans="4:6" x14ac:dyDescent="0.35">
      <c r="D36" s="4">
        <v>12</v>
      </c>
      <c r="E36" s="4">
        <v>68.662165444439239</v>
      </c>
      <c r="F36" s="4">
        <v>1.3378345555607609</v>
      </c>
    </row>
    <row r="37" spans="4:6" x14ac:dyDescent="0.35">
      <c r="D37" s="4">
        <v>13</v>
      </c>
      <c r="E37" s="4">
        <v>70.071245737773836</v>
      </c>
      <c r="F37" s="4">
        <v>1.928754262226164</v>
      </c>
    </row>
    <row r="38" spans="4:6" x14ac:dyDescent="0.35">
      <c r="D38" s="4">
        <v>14</v>
      </c>
      <c r="E38" s="4">
        <v>71.480326031108405</v>
      </c>
      <c r="F38" s="4">
        <v>1.5196739688915955</v>
      </c>
    </row>
    <row r="39" spans="4:6" x14ac:dyDescent="0.35">
      <c r="D39" s="4">
        <v>15</v>
      </c>
      <c r="E39" s="4">
        <v>73.593946471110272</v>
      </c>
      <c r="F39" s="4">
        <v>1.4060535288897285</v>
      </c>
    </row>
    <row r="40" spans="4:6" x14ac:dyDescent="0.35">
      <c r="D40" s="4">
        <v>16</v>
      </c>
      <c r="E40" s="4">
        <v>75.707566911112139</v>
      </c>
      <c r="F40" s="4">
        <v>1.2924330888878615</v>
      </c>
    </row>
    <row r="41" spans="4:6" x14ac:dyDescent="0.35">
      <c r="D41" s="4">
        <v>17</v>
      </c>
      <c r="E41" s="4">
        <v>77.116647204446721</v>
      </c>
      <c r="F41" s="4">
        <v>0.88335279555327872</v>
      </c>
    </row>
    <row r="42" spans="4:6" x14ac:dyDescent="0.35">
      <c r="D42" s="4">
        <v>18</v>
      </c>
      <c r="E42" s="4">
        <v>78.525727497781304</v>
      </c>
      <c r="F42" s="4">
        <v>1.474272502218696</v>
      </c>
    </row>
    <row r="43" spans="4:6" x14ac:dyDescent="0.35">
      <c r="D43" s="4">
        <v>19</v>
      </c>
      <c r="E43" s="4">
        <v>80.639347937783171</v>
      </c>
      <c r="F43" s="4">
        <v>1.360652062216829</v>
      </c>
    </row>
    <row r="44" spans="4:6" x14ac:dyDescent="0.35">
      <c r="D44" s="4">
        <v>20</v>
      </c>
      <c r="E44" s="4">
        <v>82.752968377785038</v>
      </c>
      <c r="F44" s="4">
        <v>1.247031622214962</v>
      </c>
    </row>
    <row r="45" spans="4:6" x14ac:dyDescent="0.35">
      <c r="D45" s="4">
        <v>21</v>
      </c>
      <c r="E45" s="4">
        <v>84.162048671119607</v>
      </c>
      <c r="F45" s="4">
        <v>0.83795132888039348</v>
      </c>
    </row>
    <row r="46" spans="4:6" x14ac:dyDescent="0.35">
      <c r="D46" s="4">
        <v>22</v>
      </c>
      <c r="E46" s="4">
        <v>85.571128964454203</v>
      </c>
      <c r="F46" s="4">
        <v>1.4288710355457965</v>
      </c>
    </row>
    <row r="47" spans="4:6" x14ac:dyDescent="0.35">
      <c r="D47" s="4">
        <v>23</v>
      </c>
      <c r="E47" s="4">
        <v>87.684749404456056</v>
      </c>
      <c r="F47" s="4">
        <v>0.31525059554394375</v>
      </c>
    </row>
    <row r="48" spans="4:6" x14ac:dyDescent="0.35">
      <c r="D48" s="4">
        <v>24</v>
      </c>
      <c r="E48" s="4">
        <v>89.798369844457937</v>
      </c>
      <c r="F48" s="4">
        <v>0.20163015554206254</v>
      </c>
    </row>
    <row r="49" spans="4:6" x14ac:dyDescent="0.35">
      <c r="D49" s="4">
        <v>25</v>
      </c>
      <c r="E49" s="4">
        <v>91.207450137792506</v>
      </c>
      <c r="F49" s="4">
        <v>-0.20745013779250598</v>
      </c>
    </row>
    <row r="50" spans="4:6" x14ac:dyDescent="0.35">
      <c r="D50" s="4">
        <v>26</v>
      </c>
      <c r="E50" s="4">
        <v>92.616530431127089</v>
      </c>
      <c r="F50" s="4">
        <v>-0.61653043112708872</v>
      </c>
    </row>
    <row r="51" spans="4:6" x14ac:dyDescent="0.35">
      <c r="D51" s="4">
        <v>27</v>
      </c>
      <c r="E51" s="4">
        <v>94.730150871128956</v>
      </c>
      <c r="F51" s="4">
        <v>-0.73015087112895571</v>
      </c>
    </row>
    <row r="52" spans="4:6" x14ac:dyDescent="0.35">
      <c r="D52" s="4">
        <v>28</v>
      </c>
      <c r="E52" s="4">
        <v>96.843771311130837</v>
      </c>
      <c r="F52" s="4">
        <v>-1.8437713111308369</v>
      </c>
    </row>
    <row r="53" spans="4:6" x14ac:dyDescent="0.35">
      <c r="D53" s="4">
        <v>29</v>
      </c>
      <c r="E53" s="4">
        <v>98.252851604465405</v>
      </c>
      <c r="F53" s="4">
        <v>-2.2528516044654054</v>
      </c>
    </row>
    <row r="54" spans="4:6" ht="15" thickBot="1" x14ac:dyDescent="0.4">
      <c r="D54" s="5">
        <v>30</v>
      </c>
      <c r="E54" s="5">
        <v>101.77555233780186</v>
      </c>
      <c r="F54" s="5">
        <v>-3.7755523378018552</v>
      </c>
    </row>
    <row r="55" spans="4:6" x14ac:dyDescent="0.35">
      <c r="D55">
        <v>16</v>
      </c>
      <c r="E55">
        <v>75.707566911112139</v>
      </c>
      <c r="F55">
        <v>1.2924330888878615</v>
      </c>
    </row>
    <row r="56" spans="4:6" x14ac:dyDescent="0.35">
      <c r="D56">
        <v>17</v>
      </c>
      <c r="E56">
        <v>77.116647204446721</v>
      </c>
      <c r="F56">
        <v>0.88335279555327872</v>
      </c>
    </row>
    <row r="57" spans="4:6" x14ac:dyDescent="0.35">
      <c r="D57">
        <v>18</v>
      </c>
      <c r="E57">
        <v>78.525727497781304</v>
      </c>
      <c r="F57">
        <v>1.474272502218696</v>
      </c>
    </row>
    <row r="58" spans="4:6" x14ac:dyDescent="0.35">
      <c r="D58">
        <v>19</v>
      </c>
      <c r="E58">
        <v>80.639347937783171</v>
      </c>
      <c r="F58">
        <v>1.360652062216829</v>
      </c>
    </row>
    <row r="59" spans="4:6" x14ac:dyDescent="0.35">
      <c r="D59">
        <v>20</v>
      </c>
      <c r="E59">
        <v>82.752968377785038</v>
      </c>
      <c r="F59">
        <v>1.247031622214962</v>
      </c>
    </row>
    <row r="60" spans="4:6" x14ac:dyDescent="0.35">
      <c r="D60">
        <v>21</v>
      </c>
      <c r="E60">
        <v>84.162048671119607</v>
      </c>
      <c r="F60">
        <v>0.83795132888039348</v>
      </c>
    </row>
    <row r="61" spans="4:6" x14ac:dyDescent="0.35">
      <c r="D61">
        <v>22</v>
      </c>
      <c r="E61">
        <v>85.571128964454203</v>
      </c>
      <c r="F61">
        <v>1.4288710355457965</v>
      </c>
    </row>
    <row r="62" spans="4:6" x14ac:dyDescent="0.35">
      <c r="D62">
        <v>23</v>
      </c>
      <c r="E62">
        <v>87.684749404456056</v>
      </c>
      <c r="F62">
        <v>0.31525059554394375</v>
      </c>
    </row>
    <row r="63" spans="4:6" x14ac:dyDescent="0.35">
      <c r="D63">
        <v>24</v>
      </c>
      <c r="E63">
        <v>89.798369844457937</v>
      </c>
      <c r="F63">
        <v>0.20163015554206254</v>
      </c>
    </row>
    <row r="64" spans="4:6" x14ac:dyDescent="0.35">
      <c r="D64">
        <v>25</v>
      </c>
      <c r="E64">
        <v>91.207450137792506</v>
      </c>
      <c r="F64">
        <v>-0.20745013779250598</v>
      </c>
    </row>
    <row r="65" spans="4:6" x14ac:dyDescent="0.35">
      <c r="D65">
        <v>26</v>
      </c>
      <c r="E65">
        <v>92.616530431127089</v>
      </c>
      <c r="F65">
        <v>-0.61653043112708872</v>
      </c>
    </row>
    <row r="66" spans="4:6" x14ac:dyDescent="0.35">
      <c r="D66">
        <v>27</v>
      </c>
      <c r="E66">
        <v>94.730150871128956</v>
      </c>
      <c r="F66">
        <v>-0.73015087112895571</v>
      </c>
    </row>
    <row r="67" spans="4:6" x14ac:dyDescent="0.35">
      <c r="D67">
        <v>28</v>
      </c>
      <c r="E67">
        <v>96.843771311130837</v>
      </c>
      <c r="F67">
        <v>-1.8437713111308369</v>
      </c>
    </row>
    <row r="68" spans="4:6" x14ac:dyDescent="0.35">
      <c r="D68">
        <v>29</v>
      </c>
      <c r="E68">
        <v>98.252851604465405</v>
      </c>
      <c r="F68">
        <v>-2.2528516044654054</v>
      </c>
    </row>
    <row r="69" spans="4:6" x14ac:dyDescent="0.35">
      <c r="D69">
        <v>30</v>
      </c>
      <c r="E69">
        <v>101.77555233780186</v>
      </c>
      <c r="F69">
        <v>-3.7755523378018552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8135-19BC-4735-A320-F485051A9CD6}">
  <dimension ref="A1:L54"/>
  <sheetViews>
    <sheetView tabSelected="1" workbookViewId="0">
      <selection activeCell="M11" sqref="M11"/>
    </sheetView>
  </sheetViews>
  <sheetFormatPr defaultRowHeight="14.5" x14ac:dyDescent="0.35"/>
  <sheetData>
    <row r="1" spans="1:12" ht="43.5" x14ac:dyDescent="0.35">
      <c r="A1" s="3" t="s">
        <v>0</v>
      </c>
      <c r="B1" s="2" t="s">
        <v>1</v>
      </c>
      <c r="D1" t="s">
        <v>2</v>
      </c>
    </row>
    <row r="2" spans="1:12" ht="15" thickBot="1" x14ac:dyDescent="0.4">
      <c r="A2" s="1">
        <v>20</v>
      </c>
      <c r="B2" s="1">
        <v>45</v>
      </c>
    </row>
    <row r="3" spans="1:12" x14ac:dyDescent="0.35">
      <c r="A3" s="1">
        <v>22</v>
      </c>
      <c r="B3" s="1">
        <v>48</v>
      </c>
      <c r="D3" s="7" t="s">
        <v>3</v>
      </c>
      <c r="E3" s="7"/>
    </row>
    <row r="4" spans="1:12" x14ac:dyDescent="0.35">
      <c r="A4" s="1">
        <v>25</v>
      </c>
      <c r="B4" s="1">
        <v>50</v>
      </c>
      <c r="D4" s="4" t="s">
        <v>4</v>
      </c>
      <c r="E4" s="4">
        <v>0.99462030173510918</v>
      </c>
    </row>
    <row r="5" spans="1:12" x14ac:dyDescent="0.35">
      <c r="A5" s="1">
        <v>28</v>
      </c>
      <c r="B5" s="1">
        <v>54</v>
      </c>
      <c r="D5" s="4" t="s">
        <v>5</v>
      </c>
      <c r="E5" s="4">
        <v>0.98926954462363959</v>
      </c>
    </row>
    <row r="6" spans="1:12" x14ac:dyDescent="0.35">
      <c r="A6" s="1">
        <v>30</v>
      </c>
      <c r="B6" s="1">
        <v>55</v>
      </c>
      <c r="D6" s="4" t="s">
        <v>6</v>
      </c>
      <c r="E6" s="4">
        <v>0.9888863140744838</v>
      </c>
    </row>
    <row r="7" spans="1:12" x14ac:dyDescent="0.35">
      <c r="A7" s="1">
        <v>32</v>
      </c>
      <c r="B7" s="1">
        <v>58</v>
      </c>
      <c r="D7" s="4" t="s">
        <v>7</v>
      </c>
      <c r="E7" s="4">
        <v>1.6566510807732331</v>
      </c>
    </row>
    <row r="8" spans="1:12" ht="15" thickBot="1" x14ac:dyDescent="0.4">
      <c r="A8" s="1">
        <v>35</v>
      </c>
      <c r="B8" s="1">
        <v>60</v>
      </c>
      <c r="D8" s="5" t="s">
        <v>8</v>
      </c>
      <c r="E8" s="5">
        <v>30</v>
      </c>
    </row>
    <row r="9" spans="1:12" x14ac:dyDescent="0.35">
      <c r="A9" s="1">
        <v>38</v>
      </c>
      <c r="B9" s="1">
        <v>62</v>
      </c>
    </row>
    <row r="10" spans="1:12" ht="15" thickBot="1" x14ac:dyDescent="0.4">
      <c r="A10" s="1">
        <v>40</v>
      </c>
      <c r="B10" s="1">
        <v>64</v>
      </c>
      <c r="D10" t="s">
        <v>9</v>
      </c>
    </row>
    <row r="11" spans="1:12" x14ac:dyDescent="0.35">
      <c r="A11" s="1">
        <v>42</v>
      </c>
      <c r="B11" s="1">
        <v>65</v>
      </c>
      <c r="D11" s="6"/>
      <c r="E11" s="6" t="s">
        <v>14</v>
      </c>
      <c r="F11" s="6" t="s">
        <v>15</v>
      </c>
      <c r="G11" s="6" t="s">
        <v>16</v>
      </c>
      <c r="H11" s="6" t="s">
        <v>17</v>
      </c>
      <c r="I11" s="6" t="s">
        <v>18</v>
      </c>
    </row>
    <row r="12" spans="1:12" x14ac:dyDescent="0.35">
      <c r="A12" s="1">
        <v>45</v>
      </c>
      <c r="B12" s="1">
        <v>68</v>
      </c>
      <c r="D12" s="4" t="s">
        <v>10</v>
      </c>
      <c r="E12" s="4">
        <v>1</v>
      </c>
      <c r="F12" s="4">
        <v>7084.6208681707076</v>
      </c>
      <c r="G12" s="4">
        <v>7084.6208681707076</v>
      </c>
      <c r="H12" s="4">
        <v>2581.3953162216176</v>
      </c>
      <c r="I12" s="4">
        <v>4.0301774304609415E-29</v>
      </c>
    </row>
    <row r="13" spans="1:12" x14ac:dyDescent="0.35">
      <c r="A13" s="1">
        <v>48</v>
      </c>
      <c r="B13" s="1">
        <v>70</v>
      </c>
      <c r="D13" s="4" t="s">
        <v>11</v>
      </c>
      <c r="E13" s="4">
        <v>28</v>
      </c>
      <c r="F13" s="4">
        <v>76.8457984959594</v>
      </c>
      <c r="G13" s="4">
        <v>2.7444928034271214</v>
      </c>
      <c r="H13" s="4"/>
      <c r="I13" s="4"/>
    </row>
    <row r="14" spans="1:12" ht="15" thickBot="1" x14ac:dyDescent="0.4">
      <c r="A14" s="1">
        <v>50</v>
      </c>
      <c r="B14" s="1">
        <v>72</v>
      </c>
      <c r="D14" s="5" t="s">
        <v>12</v>
      </c>
      <c r="E14" s="5">
        <v>29</v>
      </c>
      <c r="F14" s="5">
        <v>7161.4666666666672</v>
      </c>
      <c r="G14" s="5"/>
      <c r="H14" s="5"/>
      <c r="I14" s="5"/>
    </row>
    <row r="15" spans="1:12" ht="15" thickBot="1" x14ac:dyDescent="0.4">
      <c r="A15" s="1">
        <v>52</v>
      </c>
      <c r="B15" s="1">
        <v>73</v>
      </c>
    </row>
    <row r="16" spans="1:12" x14ac:dyDescent="0.35">
      <c r="A16" s="1">
        <v>55</v>
      </c>
      <c r="B16" s="1">
        <v>75</v>
      </c>
      <c r="D16" s="6"/>
      <c r="E16" s="6" t="s">
        <v>19</v>
      </c>
      <c r="F16" s="6" t="s">
        <v>7</v>
      </c>
      <c r="G16" s="6" t="s">
        <v>20</v>
      </c>
      <c r="H16" s="6" t="s">
        <v>21</v>
      </c>
      <c r="I16" s="6" t="s">
        <v>22</v>
      </c>
      <c r="J16" s="6" t="s">
        <v>23</v>
      </c>
      <c r="K16" s="6" t="s">
        <v>24</v>
      </c>
      <c r="L16" s="6" t="s">
        <v>25</v>
      </c>
    </row>
    <row r="17" spans="1:12" x14ac:dyDescent="0.35">
      <c r="A17" s="1">
        <v>58</v>
      </c>
      <c r="B17" s="1">
        <v>77</v>
      </c>
      <c r="D17" s="4" t="s">
        <v>13</v>
      </c>
      <c r="E17" s="4">
        <v>34.844238404409353</v>
      </c>
      <c r="F17" s="4">
        <v>0.83767840508520197</v>
      </c>
      <c r="G17" s="4">
        <v>41.596199917395836</v>
      </c>
      <c r="H17" s="4">
        <v>1.0158769541071346E-26</v>
      </c>
      <c r="I17" s="4">
        <v>33.128331976905173</v>
      </c>
      <c r="J17" s="4">
        <v>36.560144831913533</v>
      </c>
      <c r="K17" s="4">
        <v>33.128331976905173</v>
      </c>
      <c r="L17" s="4">
        <v>36.560144831913533</v>
      </c>
    </row>
    <row r="18" spans="1:12" ht="15" thickBot="1" x14ac:dyDescent="0.4">
      <c r="A18" s="1">
        <v>60</v>
      </c>
      <c r="B18" s="1">
        <v>78</v>
      </c>
      <c r="D18" s="5" t="s">
        <v>0</v>
      </c>
      <c r="E18" s="5">
        <v>0.70454014666728948</v>
      </c>
      <c r="F18" s="5">
        <v>1.3866871356484024E-2</v>
      </c>
      <c r="G18" s="5">
        <v>50.807433670887335</v>
      </c>
      <c r="H18" s="5">
        <v>4.0301774304609415E-29</v>
      </c>
      <c r="I18" s="5">
        <v>0.67613514834631172</v>
      </c>
      <c r="J18" s="5">
        <v>0.73294514498826724</v>
      </c>
      <c r="K18" s="5">
        <v>0.67613514834631172</v>
      </c>
      <c r="L18" s="5">
        <v>0.73294514498826724</v>
      </c>
    </row>
    <row r="19" spans="1:12" x14ac:dyDescent="0.35">
      <c r="A19" s="1">
        <v>62</v>
      </c>
      <c r="B19" s="1">
        <v>80</v>
      </c>
    </row>
    <row r="20" spans="1:12" x14ac:dyDescent="0.35">
      <c r="A20" s="1">
        <v>65</v>
      </c>
      <c r="B20" s="1">
        <v>82</v>
      </c>
    </row>
    <row r="21" spans="1:12" x14ac:dyDescent="0.35">
      <c r="A21" s="1">
        <v>68</v>
      </c>
      <c r="B21" s="1">
        <v>84</v>
      </c>
    </row>
    <row r="22" spans="1:12" x14ac:dyDescent="0.35">
      <c r="A22" s="1">
        <v>70</v>
      </c>
      <c r="B22" s="1">
        <v>85</v>
      </c>
      <c r="D22" t="s">
        <v>26</v>
      </c>
    </row>
    <row r="23" spans="1:12" ht="15" thickBot="1" x14ac:dyDescent="0.4">
      <c r="A23" s="1">
        <v>72</v>
      </c>
      <c r="B23" s="1">
        <v>87</v>
      </c>
    </row>
    <row r="24" spans="1:12" x14ac:dyDescent="0.35">
      <c r="A24" s="1">
        <v>75</v>
      </c>
      <c r="B24" s="1">
        <v>88</v>
      </c>
      <c r="D24" s="6" t="s">
        <v>27</v>
      </c>
      <c r="E24" s="6" t="s">
        <v>28</v>
      </c>
      <c r="F24" s="6" t="s">
        <v>29</v>
      </c>
    </row>
    <row r="25" spans="1:12" x14ac:dyDescent="0.35">
      <c r="A25" s="1">
        <v>78</v>
      </c>
      <c r="B25" s="1">
        <v>90</v>
      </c>
      <c r="D25" s="4">
        <v>1</v>
      </c>
      <c r="E25" s="4">
        <v>48.935041337755145</v>
      </c>
      <c r="F25" s="4">
        <v>-3.9350413377551448</v>
      </c>
    </row>
    <row r="26" spans="1:12" x14ac:dyDescent="0.35">
      <c r="A26" s="1">
        <v>80</v>
      </c>
      <c r="B26" s="1">
        <v>91</v>
      </c>
      <c r="D26" s="4">
        <v>2</v>
      </c>
      <c r="E26" s="4">
        <v>50.34412163108972</v>
      </c>
      <c r="F26" s="4">
        <v>-2.3441216310897204</v>
      </c>
    </row>
    <row r="27" spans="1:12" x14ac:dyDescent="0.35">
      <c r="A27" s="1">
        <v>82</v>
      </c>
      <c r="B27" s="1">
        <v>92</v>
      </c>
      <c r="D27" s="4">
        <v>3</v>
      </c>
      <c r="E27" s="4">
        <v>52.457742071091587</v>
      </c>
      <c r="F27" s="4">
        <v>-2.4577420710915874</v>
      </c>
    </row>
    <row r="28" spans="1:12" x14ac:dyDescent="0.35">
      <c r="A28" s="1">
        <v>85</v>
      </c>
      <c r="B28" s="1">
        <v>94</v>
      </c>
      <c r="D28" s="4">
        <v>4</v>
      </c>
      <c r="E28" s="4">
        <v>54.571362511093454</v>
      </c>
      <c r="F28" s="4">
        <v>-0.57136251109345437</v>
      </c>
    </row>
    <row r="29" spans="1:12" x14ac:dyDescent="0.35">
      <c r="A29" s="1">
        <v>88</v>
      </c>
      <c r="B29" s="1">
        <v>95</v>
      </c>
      <c r="D29" s="4">
        <v>5</v>
      </c>
      <c r="E29" s="4">
        <v>55.980442804428037</v>
      </c>
      <c r="F29" s="4">
        <v>-0.98044280442803711</v>
      </c>
    </row>
    <row r="30" spans="1:12" x14ac:dyDescent="0.35">
      <c r="A30" s="1">
        <v>90</v>
      </c>
      <c r="B30" s="1">
        <v>96</v>
      </c>
      <c r="D30" s="4">
        <v>6</v>
      </c>
      <c r="E30" s="4">
        <v>57.38952309776262</v>
      </c>
      <c r="F30" s="4">
        <v>0.61047690223738016</v>
      </c>
    </row>
    <row r="31" spans="1:12" x14ac:dyDescent="0.35">
      <c r="A31" s="1">
        <v>95</v>
      </c>
      <c r="B31" s="1">
        <v>98</v>
      </c>
      <c r="D31" s="4">
        <v>7</v>
      </c>
      <c r="E31" s="4">
        <v>59.503143537764487</v>
      </c>
      <c r="F31" s="4">
        <v>0.49685646223551316</v>
      </c>
    </row>
    <row r="32" spans="1:12" x14ac:dyDescent="0.35">
      <c r="D32" s="4">
        <v>8</v>
      </c>
      <c r="E32" s="4">
        <v>61.616763977766354</v>
      </c>
      <c r="F32" s="4">
        <v>0.38323602223364617</v>
      </c>
    </row>
    <row r="33" spans="4:6" x14ac:dyDescent="0.35">
      <c r="D33" s="4">
        <v>9</v>
      </c>
      <c r="E33" s="4">
        <v>63.025844271100937</v>
      </c>
      <c r="F33" s="4">
        <v>0.97415572889906343</v>
      </c>
    </row>
    <row r="34" spans="4:6" x14ac:dyDescent="0.35">
      <c r="D34" s="4">
        <v>10</v>
      </c>
      <c r="E34" s="4">
        <v>64.434924564435505</v>
      </c>
      <c r="F34" s="4">
        <v>0.56507543556449491</v>
      </c>
    </row>
    <row r="35" spans="4:6" x14ac:dyDescent="0.35">
      <c r="D35" s="4">
        <v>11</v>
      </c>
      <c r="E35" s="4">
        <v>66.548545004437386</v>
      </c>
      <c r="F35" s="4">
        <v>1.4514549955626137</v>
      </c>
    </row>
    <row r="36" spans="4:6" x14ac:dyDescent="0.35">
      <c r="D36" s="4">
        <v>12</v>
      </c>
      <c r="E36" s="4">
        <v>68.662165444439239</v>
      </c>
      <c r="F36" s="4">
        <v>1.3378345555607609</v>
      </c>
    </row>
    <row r="37" spans="4:6" x14ac:dyDescent="0.35">
      <c r="D37" s="4">
        <v>13</v>
      </c>
      <c r="E37" s="4">
        <v>70.071245737773836</v>
      </c>
      <c r="F37" s="4">
        <v>1.928754262226164</v>
      </c>
    </row>
    <row r="38" spans="4:6" x14ac:dyDescent="0.35">
      <c r="D38" s="4">
        <v>14</v>
      </c>
      <c r="E38" s="4">
        <v>71.480326031108405</v>
      </c>
      <c r="F38" s="4">
        <v>1.5196739688915955</v>
      </c>
    </row>
    <row r="39" spans="4:6" x14ac:dyDescent="0.35">
      <c r="D39" s="4">
        <v>15</v>
      </c>
      <c r="E39" s="4">
        <v>73.593946471110272</v>
      </c>
      <c r="F39" s="4">
        <v>1.4060535288897285</v>
      </c>
    </row>
    <row r="40" spans="4:6" x14ac:dyDescent="0.35">
      <c r="D40" s="4">
        <v>16</v>
      </c>
      <c r="E40" s="4">
        <v>75.707566911112139</v>
      </c>
      <c r="F40" s="4">
        <v>1.2924330888878615</v>
      </c>
    </row>
    <row r="41" spans="4:6" x14ac:dyDescent="0.35">
      <c r="D41" s="4">
        <v>17</v>
      </c>
      <c r="E41" s="4">
        <v>77.116647204446721</v>
      </c>
      <c r="F41" s="4">
        <v>0.88335279555327872</v>
      </c>
    </row>
    <row r="42" spans="4:6" x14ac:dyDescent="0.35">
      <c r="D42" s="4">
        <v>18</v>
      </c>
      <c r="E42" s="4">
        <v>78.525727497781304</v>
      </c>
      <c r="F42" s="4">
        <v>1.474272502218696</v>
      </c>
    </row>
    <row r="43" spans="4:6" x14ac:dyDescent="0.35">
      <c r="D43" s="4">
        <v>19</v>
      </c>
      <c r="E43" s="4">
        <v>80.639347937783171</v>
      </c>
      <c r="F43" s="4">
        <v>1.360652062216829</v>
      </c>
    </row>
    <row r="44" spans="4:6" x14ac:dyDescent="0.35">
      <c r="D44" s="4">
        <v>20</v>
      </c>
      <c r="E44" s="4">
        <v>82.752968377785038</v>
      </c>
      <c r="F44" s="4">
        <v>1.247031622214962</v>
      </c>
    </row>
    <row r="45" spans="4:6" x14ac:dyDescent="0.35">
      <c r="D45" s="4">
        <v>21</v>
      </c>
      <c r="E45" s="4">
        <v>84.162048671119607</v>
      </c>
      <c r="F45" s="4">
        <v>0.83795132888039348</v>
      </c>
    </row>
    <row r="46" spans="4:6" x14ac:dyDescent="0.35">
      <c r="D46" s="4">
        <v>22</v>
      </c>
      <c r="E46" s="4">
        <v>85.571128964454203</v>
      </c>
      <c r="F46" s="4">
        <v>1.4288710355457965</v>
      </c>
    </row>
    <row r="47" spans="4:6" x14ac:dyDescent="0.35">
      <c r="D47" s="4">
        <v>23</v>
      </c>
      <c r="E47" s="4">
        <v>87.684749404456056</v>
      </c>
      <c r="F47" s="4">
        <v>0.31525059554394375</v>
      </c>
    </row>
    <row r="48" spans="4:6" x14ac:dyDescent="0.35">
      <c r="D48" s="4">
        <v>24</v>
      </c>
      <c r="E48" s="4">
        <v>89.798369844457937</v>
      </c>
      <c r="F48" s="4">
        <v>0.20163015554206254</v>
      </c>
    </row>
    <row r="49" spans="4:6" x14ac:dyDescent="0.35">
      <c r="D49" s="4">
        <v>25</v>
      </c>
      <c r="E49" s="4">
        <v>91.207450137792506</v>
      </c>
      <c r="F49" s="4">
        <v>-0.20745013779250598</v>
      </c>
    </row>
    <row r="50" spans="4:6" x14ac:dyDescent="0.35">
      <c r="D50" s="4">
        <v>26</v>
      </c>
      <c r="E50" s="4">
        <v>92.616530431127089</v>
      </c>
      <c r="F50" s="4">
        <v>-0.61653043112708872</v>
      </c>
    </row>
    <row r="51" spans="4:6" x14ac:dyDescent="0.35">
      <c r="D51" s="4">
        <v>27</v>
      </c>
      <c r="E51" s="4">
        <v>94.730150871128956</v>
      </c>
      <c r="F51" s="4">
        <v>-0.73015087112895571</v>
      </c>
    </row>
    <row r="52" spans="4:6" x14ac:dyDescent="0.35">
      <c r="D52" s="4">
        <v>28</v>
      </c>
      <c r="E52" s="4">
        <v>96.843771311130837</v>
      </c>
      <c r="F52" s="4">
        <v>-1.8437713111308369</v>
      </c>
    </row>
    <row r="53" spans="4:6" x14ac:dyDescent="0.35">
      <c r="D53" s="4">
        <v>29</v>
      </c>
      <c r="E53" s="4">
        <v>98.252851604465405</v>
      </c>
      <c r="F53" s="4">
        <v>-2.2528516044654054</v>
      </c>
    </row>
    <row r="54" spans="4:6" ht="15" thickBot="1" x14ac:dyDescent="0.4">
      <c r="D54" s="5">
        <v>30</v>
      </c>
      <c r="E54" s="5">
        <v>101.77555233780186</v>
      </c>
      <c r="F54" s="5">
        <v>-3.7755523378018552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1</vt:lpstr>
      <vt:lpstr>question 2</vt:lpstr>
      <vt:lpstr>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Manali Tamboli</dc:creator>
  <cp:lastModifiedBy>Manali Tamboli</cp:lastModifiedBy>
  <dcterms:created xsi:type="dcterms:W3CDTF">2026-01-17T06:27:10Z</dcterms:created>
  <dcterms:modified xsi:type="dcterms:W3CDTF">2026-01-17T06:53:27Z</dcterms:modified>
</cp:coreProperties>
</file>