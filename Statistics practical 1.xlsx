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BCA394DD-2CDE-47B8-9AA2-00EE1638463E}" xr6:coauthVersionLast="47" xr6:coauthVersionMax="47" xr10:uidLastSave="{00000000-0000-0000-0000-000000000000}"/>
  <bookViews>
    <workbookView xWindow="-110" yWindow="-110" windowWidth="19420" windowHeight="10300" activeTab="2" xr2:uid="{211DF479-BB5B-485D-86AB-0C7E8C31FBF5}"/>
  </bookViews>
  <sheets>
    <sheet name="q3" sheetId="1" r:id="rId1"/>
    <sheet name="q 4" sheetId="2" r:id="rId2"/>
    <sheet name="q 5S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5" i="2"/>
  <c r="G3" i="2"/>
  <c r="E9" i="2"/>
  <c r="E5" i="2"/>
  <c r="E3" i="2"/>
  <c r="E18" i="1"/>
  <c r="E16" i="1"/>
  <c r="E14" i="1"/>
  <c r="E12" i="1"/>
  <c r="E10" i="1"/>
  <c r="E8" i="1"/>
  <c r="E6" i="1"/>
  <c r="E4" i="1"/>
  <c r="E2" i="1"/>
</calcChain>
</file>

<file path=xl/sharedStrings.xml><?xml version="1.0" encoding="utf-8"?>
<sst xmlns="http://schemas.openxmlformats.org/spreadsheetml/2006/main" count="34" uniqueCount="31">
  <si>
    <t>OBSERVATION NO.</t>
  </si>
  <si>
    <t>MARKS</t>
  </si>
  <si>
    <t>Median:</t>
  </si>
  <si>
    <t>Mode:</t>
  </si>
  <si>
    <t>Average:</t>
  </si>
  <si>
    <t>Minimum value:</t>
  </si>
  <si>
    <t>Mean:</t>
  </si>
  <si>
    <t>Maximum Value:</t>
  </si>
  <si>
    <t>Range:</t>
  </si>
  <si>
    <t>Mid range:</t>
  </si>
  <si>
    <t>Variance:</t>
  </si>
  <si>
    <t>Standard deviation:</t>
  </si>
  <si>
    <t>Population of 2004</t>
  </si>
  <si>
    <t>Population of 1990</t>
  </si>
  <si>
    <t>Mid-Range:</t>
  </si>
  <si>
    <t>no mode</t>
  </si>
  <si>
    <t>Salaries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</si>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</sst>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0AEF-7977-4097-9F80-D0FAAF6665AD}">
  <dimension ref="A1:E18"/>
  <sheetViews>
    <sheetView workbookViewId="0">
      <selection activeCell="L12" sqref="L12"/>
    </sheetView>
  </sheetViews>
  <sheetFormatPr defaultRowHeight="14.5" x14ac:dyDescent="0.35"/>
  <cols>
    <col min="1" max="1" width="16.54296875" customWidth="1"/>
    <col min="2" max="2" width="17.90625" customWidth="1"/>
    <col min="4" max="4" width="16.7265625" customWidth="1"/>
  </cols>
  <sheetData>
    <row r="1" spans="1:5" x14ac:dyDescent="0.35">
      <c r="A1" s="1" t="s">
        <v>0</v>
      </c>
      <c r="B1" s="2" t="s">
        <v>1</v>
      </c>
    </row>
    <row r="2" spans="1:5" x14ac:dyDescent="0.35">
      <c r="A2">
        <v>1</v>
      </c>
      <c r="B2">
        <v>12</v>
      </c>
      <c r="D2" t="s">
        <v>4</v>
      </c>
      <c r="E2">
        <f>AVERAGE(B2:B16)</f>
        <v>30</v>
      </c>
    </row>
    <row r="3" spans="1:5" x14ac:dyDescent="0.35">
      <c r="A3">
        <v>2</v>
      </c>
      <c r="B3">
        <v>15</v>
      </c>
    </row>
    <row r="4" spans="1:5" x14ac:dyDescent="0.35">
      <c r="A4">
        <v>3</v>
      </c>
      <c r="B4">
        <v>18</v>
      </c>
      <c r="D4" t="s">
        <v>2</v>
      </c>
      <c r="E4">
        <f>MEDIAN(B2:B16)</f>
        <v>30</v>
      </c>
    </row>
    <row r="5" spans="1:5" x14ac:dyDescent="0.35">
      <c r="A5">
        <v>4</v>
      </c>
      <c r="B5">
        <v>20</v>
      </c>
    </row>
    <row r="6" spans="1:5" x14ac:dyDescent="0.35">
      <c r="A6">
        <v>5</v>
      </c>
      <c r="B6">
        <v>22</v>
      </c>
      <c r="D6" t="s">
        <v>3</v>
      </c>
      <c r="E6" t="e">
        <f>MODE(B2:B16)</f>
        <v>#N/A</v>
      </c>
    </row>
    <row r="7" spans="1:5" x14ac:dyDescent="0.35">
      <c r="A7">
        <v>6</v>
      </c>
      <c r="B7">
        <v>25</v>
      </c>
    </row>
    <row r="8" spans="1:5" x14ac:dyDescent="0.35">
      <c r="A8">
        <v>7</v>
      </c>
      <c r="B8">
        <v>28</v>
      </c>
      <c r="D8" t="s">
        <v>5</v>
      </c>
      <c r="E8">
        <f>MIN(B2:B16)</f>
        <v>12</v>
      </c>
    </row>
    <row r="9" spans="1:5" x14ac:dyDescent="0.35">
      <c r="A9">
        <v>8</v>
      </c>
      <c r="B9">
        <v>30</v>
      </c>
    </row>
    <row r="10" spans="1:5" x14ac:dyDescent="0.35">
      <c r="A10">
        <v>9</v>
      </c>
      <c r="B10">
        <v>32</v>
      </c>
      <c r="D10" t="s">
        <v>7</v>
      </c>
      <c r="E10">
        <f>MAX(B2:B16)</f>
        <v>48</v>
      </c>
    </row>
    <row r="11" spans="1:5" x14ac:dyDescent="0.35">
      <c r="A11">
        <v>10</v>
      </c>
      <c r="B11">
        <v>35</v>
      </c>
    </row>
    <row r="12" spans="1:5" x14ac:dyDescent="0.35">
      <c r="A12">
        <v>11</v>
      </c>
      <c r="B12">
        <v>38</v>
      </c>
      <c r="D12" t="s">
        <v>8</v>
      </c>
      <c r="E12">
        <f>MAX(B2:B16)-MIN(B2:B16)</f>
        <v>36</v>
      </c>
    </row>
    <row r="13" spans="1:5" x14ac:dyDescent="0.35">
      <c r="A13">
        <v>12</v>
      </c>
      <c r="B13">
        <v>40</v>
      </c>
    </row>
    <row r="14" spans="1:5" x14ac:dyDescent="0.35">
      <c r="A14">
        <v>13</v>
      </c>
      <c r="B14">
        <v>42</v>
      </c>
      <c r="D14" t="s">
        <v>9</v>
      </c>
      <c r="E14">
        <f>(MAX(B2:B16)+MIN(B2:B16))/2</f>
        <v>30</v>
      </c>
    </row>
    <row r="15" spans="1:5" x14ac:dyDescent="0.35">
      <c r="A15">
        <v>14</v>
      </c>
      <c r="B15">
        <v>45</v>
      </c>
    </row>
    <row r="16" spans="1:5" x14ac:dyDescent="0.35">
      <c r="A16">
        <v>15</v>
      </c>
      <c r="B16">
        <v>48</v>
      </c>
      <c r="D16" t="s">
        <v>10</v>
      </c>
      <c r="E16">
        <f>_xlfn.VAR.S(B2:B16)</f>
        <v>126.57142857142857</v>
      </c>
    </row>
    <row r="18" spans="4:5" x14ac:dyDescent="0.35">
      <c r="D18" t="s">
        <v>11</v>
      </c>
      <c r="E18">
        <f>_xlfn.STDEV.S(B2:B16)</f>
        <v>11.250396818398388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769C-E821-4CD6-B4A2-937DDC8DFD7F}">
  <dimension ref="A1:G25"/>
  <sheetViews>
    <sheetView workbookViewId="0">
      <selection activeCell="G10" sqref="G10"/>
    </sheetView>
  </sheetViews>
  <sheetFormatPr defaultRowHeight="14.5" x14ac:dyDescent="0.35"/>
  <cols>
    <col min="1" max="1" width="17.26953125" customWidth="1"/>
    <col min="2" max="2" width="19.54296875" customWidth="1"/>
    <col min="4" max="4" width="10.36328125" customWidth="1"/>
  </cols>
  <sheetData>
    <row r="1" spans="1:7" x14ac:dyDescent="0.35">
      <c r="A1" t="s">
        <v>12</v>
      </c>
      <c r="B1" t="s">
        <v>13</v>
      </c>
      <c r="E1" s="4">
        <v>2004</v>
      </c>
      <c r="G1" s="3">
        <v>1998</v>
      </c>
    </row>
    <row r="2" spans="1:7" x14ac:dyDescent="0.35">
      <c r="A2">
        <v>11270</v>
      </c>
      <c r="B2">
        <v>13374</v>
      </c>
    </row>
    <row r="3" spans="1:7" x14ac:dyDescent="0.35">
      <c r="A3">
        <v>8220</v>
      </c>
      <c r="B3">
        <v>9278</v>
      </c>
      <c r="D3" t="s">
        <v>6</v>
      </c>
      <c r="E3">
        <f>AVERAGE(A2:A25)</f>
        <v>8421.1666666666661</v>
      </c>
      <c r="G3">
        <f>AVERAGE(B2:B25)</f>
        <v>9809.1666666666661</v>
      </c>
    </row>
    <row r="4" spans="1:7" x14ac:dyDescent="0.35">
      <c r="A4">
        <v>5463</v>
      </c>
      <c r="B4">
        <v>6113</v>
      </c>
    </row>
    <row r="5" spans="1:7" x14ac:dyDescent="0.35">
      <c r="A5">
        <v>8739</v>
      </c>
      <c r="B5">
        <v>9229</v>
      </c>
      <c r="D5" t="s">
        <v>2</v>
      </c>
      <c r="E5">
        <f>MEDIAN(A2:A25)</f>
        <v>8197</v>
      </c>
      <c r="G5">
        <f>MEDIAN(B2:B25)</f>
        <v>9214.5</v>
      </c>
    </row>
    <row r="6" spans="1:7" x14ac:dyDescent="0.35">
      <c r="A6">
        <v>6199</v>
      </c>
      <c r="B6">
        <v>10687</v>
      </c>
    </row>
    <row r="7" spans="1:7" x14ac:dyDescent="0.35">
      <c r="A7">
        <v>10309</v>
      </c>
      <c r="B7">
        <v>11221</v>
      </c>
      <c r="D7" t="s">
        <v>3</v>
      </c>
      <c r="E7" t="s">
        <v>15</v>
      </c>
      <c r="G7" t="s">
        <v>15</v>
      </c>
    </row>
    <row r="8" spans="1:7" x14ac:dyDescent="0.35">
      <c r="A8">
        <v>9964</v>
      </c>
      <c r="B8">
        <v>10823</v>
      </c>
    </row>
    <row r="9" spans="1:7" x14ac:dyDescent="0.35">
      <c r="A9">
        <v>14340</v>
      </c>
      <c r="B9">
        <v>14292</v>
      </c>
      <c r="D9" t="s">
        <v>14</v>
      </c>
      <c r="E9">
        <f>(MAX(A2:A25)+MIN(A2:A25))/2</f>
        <v>9984.5</v>
      </c>
      <c r="G9">
        <f>(MAX(B2:B25)+MIN(B2:B25))/2</f>
        <v>13345.5</v>
      </c>
    </row>
    <row r="10" spans="1:7" x14ac:dyDescent="0.35">
      <c r="A10">
        <v>8825</v>
      </c>
      <c r="B10">
        <v>9200</v>
      </c>
    </row>
    <row r="11" spans="1:7" x14ac:dyDescent="0.35">
      <c r="A11">
        <v>5132</v>
      </c>
      <c r="B11">
        <v>4768</v>
      </c>
    </row>
    <row r="12" spans="1:7" x14ac:dyDescent="0.35">
      <c r="A12">
        <v>8174</v>
      </c>
      <c r="B12">
        <v>9656</v>
      </c>
    </row>
    <row r="13" spans="1:7" x14ac:dyDescent="0.35">
      <c r="A13">
        <v>5282</v>
      </c>
      <c r="B13">
        <v>21923</v>
      </c>
    </row>
    <row r="14" spans="1:7" x14ac:dyDescent="0.35">
      <c r="A14">
        <v>5307</v>
      </c>
      <c r="B14">
        <v>5319</v>
      </c>
    </row>
    <row r="15" spans="1:7" x14ac:dyDescent="0.35">
      <c r="A15">
        <v>14925</v>
      </c>
      <c r="B15">
        <v>15174</v>
      </c>
    </row>
    <row r="16" spans="1:7" x14ac:dyDescent="0.35">
      <c r="A16">
        <v>14849</v>
      </c>
      <c r="B16">
        <v>15864</v>
      </c>
    </row>
    <row r="17" spans="1:2" x14ac:dyDescent="0.35">
      <c r="A17">
        <v>5707</v>
      </c>
      <c r="B17">
        <v>5748</v>
      </c>
    </row>
    <row r="18" spans="1:2" x14ac:dyDescent="0.35">
      <c r="A18">
        <v>7439</v>
      </c>
      <c r="B18">
        <v>8113</v>
      </c>
    </row>
    <row r="19" spans="1:2" x14ac:dyDescent="0.35">
      <c r="A19">
        <v>8395</v>
      </c>
      <c r="B19">
        <v>9135</v>
      </c>
    </row>
    <row r="20" spans="1:2" x14ac:dyDescent="0.35">
      <c r="A20">
        <v>5044</v>
      </c>
      <c r="B20">
        <v>5784</v>
      </c>
    </row>
    <row r="21" spans="1:2" x14ac:dyDescent="0.35">
      <c r="A21">
        <v>7869</v>
      </c>
      <c r="B21">
        <v>8286</v>
      </c>
    </row>
    <row r="22" spans="1:2" x14ac:dyDescent="0.35">
      <c r="A22">
        <v>10493</v>
      </c>
      <c r="B22">
        <v>9126</v>
      </c>
    </row>
    <row r="23" spans="1:2" x14ac:dyDescent="0.35">
      <c r="A23">
        <v>8397</v>
      </c>
      <c r="B23">
        <v>9901</v>
      </c>
    </row>
    <row r="24" spans="1:2" x14ac:dyDescent="0.35">
      <c r="A24">
        <v>5094</v>
      </c>
      <c r="B24">
        <v>5445</v>
      </c>
    </row>
    <row r="25" spans="1:2" x14ac:dyDescent="0.35">
      <c r="A25">
        <v>6672</v>
      </c>
      <c r="B25">
        <v>6961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0FF9-E5C0-452F-8884-C63437432BAB}">
  <dimension ref="A1:D15"/>
  <sheetViews>
    <sheetView tabSelected="1" workbookViewId="0">
      <selection activeCell="C15" sqref="C15"/>
    </sheetView>
  </sheetViews>
  <sheetFormatPr defaultRowHeight="14.5" x14ac:dyDescent="0.35"/>
  <sheetData>
    <row r="1" spans="1:4" x14ac:dyDescent="0.35">
      <c r="A1" s="5" t="s">
        <v>16</v>
      </c>
      <c r="C1" s="8" t="s">
        <v>17</v>
      </c>
      <c r="D1" s="8"/>
    </row>
    <row r="2" spans="1:4" x14ac:dyDescent="0.35">
      <c r="A2">
        <v>10000</v>
      </c>
      <c r="C2" s="6"/>
      <c r="D2" s="6"/>
    </row>
    <row r="3" spans="1:4" x14ac:dyDescent="0.35">
      <c r="A3">
        <v>11000</v>
      </c>
      <c r="C3" s="6" t="s">
        <v>18</v>
      </c>
      <c r="D3" s="6">
        <v>22921.666666666668</v>
      </c>
    </row>
    <row r="4" spans="1:4" x14ac:dyDescent="0.35">
      <c r="A4">
        <v>11000</v>
      </c>
      <c r="C4" s="6" t="s">
        <v>19</v>
      </c>
      <c r="D4" s="6">
        <v>7714.188996173667</v>
      </c>
    </row>
    <row r="5" spans="1:4" x14ac:dyDescent="0.35">
      <c r="A5">
        <v>12500</v>
      </c>
      <c r="C5" s="6" t="s">
        <v>20</v>
      </c>
      <c r="D5" s="6">
        <v>16500</v>
      </c>
    </row>
    <row r="6" spans="1:4" x14ac:dyDescent="0.35">
      <c r="A6">
        <v>14300</v>
      </c>
      <c r="C6" s="6" t="s">
        <v>21</v>
      </c>
      <c r="D6" s="6">
        <v>11000</v>
      </c>
    </row>
    <row r="7" spans="1:4" x14ac:dyDescent="0.35">
      <c r="A7">
        <v>17500</v>
      </c>
      <c r="C7" s="6" t="s">
        <v>22</v>
      </c>
      <c r="D7" s="6">
        <v>26722.734561123092</v>
      </c>
    </row>
    <row r="8" spans="1:4" x14ac:dyDescent="0.35">
      <c r="A8">
        <v>18000</v>
      </c>
      <c r="C8" s="6" t="s">
        <v>23</v>
      </c>
      <c r="D8" s="6">
        <v>714104542.4242425</v>
      </c>
    </row>
    <row r="9" spans="1:4" x14ac:dyDescent="0.35">
      <c r="A9">
        <v>16600</v>
      </c>
      <c r="C9" s="6" t="s">
        <v>24</v>
      </c>
      <c r="D9" s="6">
        <v>11.436630412546863</v>
      </c>
    </row>
    <row r="10" spans="1:4" x14ac:dyDescent="0.35">
      <c r="A10">
        <v>19200</v>
      </c>
      <c r="C10" s="6" t="s">
        <v>25</v>
      </c>
      <c r="D10" s="6">
        <v>3.351030030946911</v>
      </c>
    </row>
    <row r="11" spans="1:4" x14ac:dyDescent="0.35">
      <c r="A11">
        <v>21560</v>
      </c>
      <c r="C11" s="6" t="s">
        <v>26</v>
      </c>
      <c r="D11" s="6">
        <v>97000</v>
      </c>
    </row>
    <row r="12" spans="1:4" x14ac:dyDescent="0.35">
      <c r="A12">
        <v>16400</v>
      </c>
      <c r="C12" s="6" t="s">
        <v>27</v>
      </c>
      <c r="D12" s="6">
        <v>10000</v>
      </c>
    </row>
    <row r="13" spans="1:4" x14ac:dyDescent="0.35">
      <c r="A13">
        <v>107000</v>
      </c>
      <c r="C13" s="6" t="s">
        <v>28</v>
      </c>
      <c r="D13" s="6">
        <v>107000</v>
      </c>
    </row>
    <row r="14" spans="1:4" x14ac:dyDescent="0.35">
      <c r="C14" s="6" t="s">
        <v>29</v>
      </c>
      <c r="D14" s="6">
        <v>275060</v>
      </c>
    </row>
    <row r="15" spans="1:4" ht="15" thickBot="1" x14ac:dyDescent="0.4">
      <c r="C15" s="7" t="s">
        <v>30</v>
      </c>
      <c r="D15" s="7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F622-8B97-42D2-A01D-05E44AF5AC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q3</vt:lpstr>
      <vt:lpstr>q 4</vt:lpstr>
      <vt:lpstr>q 5S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2026-01-15T08:29:13Z</dcterms:created>
  <dcterms:modified xsi:type="dcterms:W3CDTF">2026-01-15T10:59:19Z</dcterms:modified>
</cp:coreProperties>
</file>