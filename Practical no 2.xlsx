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BI\Documents\"/>
    </mc:Choice>
  </mc:AlternateContent>
  <xr:revisionPtr revIDLastSave="0" documentId="8_{CB10F0F4-D398-4275-A3D5-D2A2800DD76A}" xr6:coauthVersionLast="47" xr6:coauthVersionMax="47" xr10:uidLastSave="{00000000-0000-0000-0000-000000000000}"/>
  <bookViews>
    <workbookView xWindow="-110" yWindow="-110" windowWidth="19420" windowHeight="10300" xr2:uid="{BD479CEB-FCCA-4346-A2EB-00F2B6390A5B}"/>
  </bookViews>
  <sheets>
    <sheet name="question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6" i="1"/>
  <c r="J4" i="1"/>
  <c r="J2" i="1"/>
  <c r="G13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  <c r="D3" i="1"/>
  <c r="D4" i="1"/>
  <c r="D5" i="1"/>
  <c r="D6" i="1"/>
  <c r="D7" i="1"/>
  <c r="D8" i="1"/>
  <c r="D9" i="1"/>
  <c r="D10" i="1"/>
  <c r="D11" i="1"/>
  <c r="D2" i="1"/>
  <c r="B14" i="1"/>
  <c r="C12" i="1"/>
  <c r="C3" i="1"/>
  <c r="C4" i="1"/>
  <c r="C5" i="1"/>
  <c r="C6" i="1"/>
  <c r="C7" i="1"/>
  <c r="C8" i="1"/>
  <c r="C9" i="1"/>
  <c r="C10" i="1"/>
  <c r="C11" i="1"/>
  <c r="C2" i="1"/>
  <c r="B12" i="1"/>
</calcChain>
</file>

<file path=xl/sharedStrings.xml><?xml version="1.0" encoding="utf-8"?>
<sst xmlns="http://schemas.openxmlformats.org/spreadsheetml/2006/main" count="12" uniqueCount="12">
  <si>
    <t>GROUP X</t>
  </si>
  <si>
    <t>FREQUENCY</t>
  </si>
  <si>
    <t>TOTAL=</t>
  </si>
  <si>
    <t>fx</t>
  </si>
  <si>
    <t>x- mean</t>
  </si>
  <si>
    <t>(x − mean)²</t>
  </si>
  <si>
    <t>f(x − mean)²</t>
  </si>
  <si>
    <t>Population variance=</t>
  </si>
  <si>
    <t>sample variance=</t>
  </si>
  <si>
    <t>population std dev=</t>
  </si>
  <si>
    <t>sample std dev=</t>
  </si>
  <si>
    <t>mean=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</si>
</sst>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EA923-0691-4D51-A7BA-C5786D762494}">
  <dimension ref="A1:J14"/>
  <sheetViews>
    <sheetView tabSelected="1" workbookViewId="0">
      <selection activeCell="A14" sqref="A14"/>
    </sheetView>
  </sheetViews>
  <sheetFormatPr defaultRowHeight="14.5" x14ac:dyDescent="0.35"/>
  <cols>
    <col min="2" max="2" width="11.81640625" customWidth="1"/>
    <col min="6" max="6" width="11.26953125" customWidth="1"/>
    <col min="7" max="7" width="10.453125" customWidth="1"/>
    <col min="9" max="9" width="18.1796875" customWidth="1"/>
  </cols>
  <sheetData>
    <row r="1" spans="1:10" x14ac:dyDescent="0.35">
      <c r="A1" s="1" t="s">
        <v>0</v>
      </c>
      <c r="B1" s="2" t="s">
        <v>1</v>
      </c>
      <c r="C1" s="3" t="s">
        <v>3</v>
      </c>
      <c r="D1" s="3" t="s">
        <v>4</v>
      </c>
      <c r="F1" t="s">
        <v>5</v>
      </c>
      <c r="G1" s="4" t="s">
        <v>6</v>
      </c>
    </row>
    <row r="2" spans="1:10" x14ac:dyDescent="0.35">
      <c r="A2">
        <v>5</v>
      </c>
      <c r="B2">
        <v>2</v>
      </c>
      <c r="C2">
        <f>A2*B2</f>
        <v>10</v>
      </c>
      <c r="D2" s="4">
        <f>A2-B$14</f>
        <v>-18.875</v>
      </c>
      <c r="F2">
        <f>D2^2</f>
        <v>356.265625</v>
      </c>
      <c r="G2" s="4">
        <f>B2*F2</f>
        <v>712.53125</v>
      </c>
      <c r="I2" t="s">
        <v>7</v>
      </c>
      <c r="J2">
        <f>G13/B12</f>
        <v>116.859375</v>
      </c>
    </row>
    <row r="3" spans="1:10" x14ac:dyDescent="0.35">
      <c r="A3">
        <v>10</v>
      </c>
      <c r="B3">
        <v>4</v>
      </c>
      <c r="C3">
        <f t="shared" ref="C3:C11" si="0">A3*B3</f>
        <v>40</v>
      </c>
      <c r="D3" s="4">
        <f t="shared" ref="D3:D11" si="1">A3-B$14</f>
        <v>-13.875</v>
      </c>
      <c r="F3">
        <f t="shared" ref="F3:F11" si="2">D3^2</f>
        <v>192.515625</v>
      </c>
      <c r="G3" s="4">
        <f t="shared" ref="G3:G11" si="3">B3*F3</f>
        <v>770.0625</v>
      </c>
    </row>
    <row r="4" spans="1:10" x14ac:dyDescent="0.35">
      <c r="A4">
        <v>15</v>
      </c>
      <c r="B4">
        <v>6</v>
      </c>
      <c r="C4">
        <f t="shared" si="0"/>
        <v>90</v>
      </c>
      <c r="D4" s="4">
        <f t="shared" si="1"/>
        <v>-8.875</v>
      </c>
      <c r="F4">
        <f t="shared" si="2"/>
        <v>78.765625</v>
      </c>
      <c r="G4" s="4">
        <f t="shared" si="3"/>
        <v>472.59375</v>
      </c>
      <c r="I4" t="s">
        <v>8</v>
      </c>
      <c r="J4">
        <f>G13/39</f>
        <v>119.85576923076923</v>
      </c>
    </row>
    <row r="5" spans="1:10" x14ac:dyDescent="0.35">
      <c r="A5">
        <v>20</v>
      </c>
      <c r="B5">
        <v>8</v>
      </c>
      <c r="C5">
        <f t="shared" si="0"/>
        <v>160</v>
      </c>
      <c r="D5" s="4">
        <f t="shared" si="1"/>
        <v>-3.875</v>
      </c>
      <c r="F5">
        <f t="shared" si="2"/>
        <v>15.015625</v>
      </c>
      <c r="G5" s="4">
        <f t="shared" si="3"/>
        <v>120.125</v>
      </c>
    </row>
    <row r="6" spans="1:10" x14ac:dyDescent="0.35">
      <c r="A6">
        <v>25</v>
      </c>
      <c r="B6">
        <v>6</v>
      </c>
      <c r="C6">
        <f t="shared" si="0"/>
        <v>150</v>
      </c>
      <c r="D6" s="4">
        <f t="shared" si="1"/>
        <v>1.125</v>
      </c>
      <c r="F6">
        <f t="shared" si="2"/>
        <v>1.265625</v>
      </c>
      <c r="G6" s="4">
        <f t="shared" si="3"/>
        <v>7.59375</v>
      </c>
      <c r="I6" t="s">
        <v>9</v>
      </c>
      <c r="J6">
        <f>SQRT(J2)</f>
        <v>10.810151479049681</v>
      </c>
    </row>
    <row r="7" spans="1:10" x14ac:dyDescent="0.35">
      <c r="A7">
        <v>30</v>
      </c>
      <c r="B7">
        <v>5</v>
      </c>
      <c r="C7">
        <f t="shared" si="0"/>
        <v>150</v>
      </c>
      <c r="D7" s="4">
        <f t="shared" si="1"/>
        <v>6.125</v>
      </c>
      <c r="F7">
        <f t="shared" si="2"/>
        <v>37.515625</v>
      </c>
      <c r="G7" s="4">
        <f t="shared" si="3"/>
        <v>187.578125</v>
      </c>
    </row>
    <row r="8" spans="1:10" x14ac:dyDescent="0.35">
      <c r="A8">
        <v>35</v>
      </c>
      <c r="B8">
        <v>4</v>
      </c>
      <c r="C8">
        <f t="shared" si="0"/>
        <v>140</v>
      </c>
      <c r="D8" s="4">
        <f t="shared" si="1"/>
        <v>11.125</v>
      </c>
      <c r="F8">
        <f t="shared" si="2"/>
        <v>123.765625</v>
      </c>
      <c r="G8" s="4">
        <f t="shared" si="3"/>
        <v>495.0625</v>
      </c>
      <c r="I8" t="s">
        <v>10</v>
      </c>
      <c r="J8">
        <f>SQRT(J4)</f>
        <v>10.947865966971335</v>
      </c>
    </row>
    <row r="9" spans="1:10" x14ac:dyDescent="0.35">
      <c r="A9">
        <v>40</v>
      </c>
      <c r="B9">
        <v>3</v>
      </c>
      <c r="C9">
        <f t="shared" si="0"/>
        <v>120</v>
      </c>
      <c r="D9" s="4">
        <f t="shared" si="1"/>
        <v>16.125</v>
      </c>
      <c r="F9">
        <f t="shared" si="2"/>
        <v>260.015625</v>
      </c>
      <c r="G9" s="4">
        <f t="shared" si="3"/>
        <v>780.046875</v>
      </c>
    </row>
    <row r="10" spans="1:10" x14ac:dyDescent="0.35">
      <c r="A10">
        <v>45</v>
      </c>
      <c r="B10">
        <v>1</v>
      </c>
      <c r="C10">
        <f t="shared" si="0"/>
        <v>45</v>
      </c>
      <c r="D10" s="4">
        <f t="shared" si="1"/>
        <v>21.125</v>
      </c>
      <c r="F10">
        <f t="shared" si="2"/>
        <v>446.265625</v>
      </c>
      <c r="G10" s="4">
        <f t="shared" si="3"/>
        <v>446.265625</v>
      </c>
    </row>
    <row r="11" spans="1:10" x14ac:dyDescent="0.35">
      <c r="A11">
        <v>50</v>
      </c>
      <c r="B11">
        <v>1</v>
      </c>
      <c r="C11">
        <f t="shared" si="0"/>
        <v>50</v>
      </c>
      <c r="D11" s="4">
        <f t="shared" si="1"/>
        <v>26.125</v>
      </c>
      <c r="F11">
        <f t="shared" si="2"/>
        <v>682.515625</v>
      </c>
      <c r="G11" s="4">
        <f t="shared" si="3"/>
        <v>682.515625</v>
      </c>
    </row>
    <row r="12" spans="1:10" x14ac:dyDescent="0.35">
      <c r="A12" t="s">
        <v>2</v>
      </c>
      <c r="B12">
        <f>SUM(B2:B11)</f>
        <v>40</v>
      </c>
      <c r="C12">
        <f>SUM(C2:C11)</f>
        <v>955</v>
      </c>
    </row>
    <row r="13" spans="1:10" x14ac:dyDescent="0.35">
      <c r="G13" s="4">
        <f>SUM(G2:G11)</f>
        <v>4674.375</v>
      </c>
    </row>
    <row r="14" spans="1:10" x14ac:dyDescent="0.35">
      <c r="A14" t="s">
        <v>11</v>
      </c>
      <c r="B14">
        <f>C12/B12</f>
        <v>23.875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Manali Tamboli</dc:creator>
  <cp:lastModifiedBy>Manali Tamboli</cp:lastModifiedBy>
  <dcterms:created xsi:type="dcterms:W3CDTF">2026-01-17T07:09:08Z</dcterms:created>
  <dcterms:modified xsi:type="dcterms:W3CDTF">2026-01-17T07:39:52Z</dcterms:modified>
</cp:coreProperties>
</file>