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1C5C03A4-AFBE-411E-BEF1-83227FF51481}" xr6:coauthVersionLast="47" xr6:coauthVersionMax="47" xr10:uidLastSave="{00000000-0000-0000-0000-000000000000}"/>
  <bookViews>
    <workbookView xWindow="-110" yWindow="-110" windowWidth="19420" windowHeight="10300" activeTab="1" xr2:uid="{A26C7380-C664-4032-8E44-4ED70E3308C1}"/>
  </bookViews>
  <sheets>
    <sheet name="QUESTION 3" sheetId="1" r:id="rId1"/>
    <sheet name="QUESTION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1" i="2"/>
  <c r="H2" i="2"/>
  <c r="G8" i="2"/>
  <c r="G3" i="2"/>
  <c r="G4" i="2"/>
  <c r="G5" i="2"/>
  <c r="G6" i="2"/>
  <c r="G7" i="2"/>
  <c r="G2" i="2"/>
  <c r="F8" i="2"/>
  <c r="F3" i="2"/>
  <c r="F4" i="2"/>
  <c r="F5" i="2"/>
  <c r="F6" i="2"/>
  <c r="F7" i="2"/>
  <c r="F2" i="2"/>
  <c r="E8" i="2"/>
  <c r="E3" i="2"/>
  <c r="E4" i="2"/>
  <c r="E5" i="2"/>
  <c r="E6" i="2"/>
  <c r="E7" i="2"/>
  <c r="E2" i="2"/>
  <c r="D3" i="2"/>
  <c r="D4" i="2"/>
  <c r="D5" i="2"/>
  <c r="D6" i="2"/>
  <c r="D2" i="2"/>
  <c r="C3" i="2"/>
  <c r="C4" i="2"/>
  <c r="C5" i="2"/>
  <c r="C6" i="2"/>
  <c r="C2" i="2"/>
  <c r="B8" i="2"/>
  <c r="A8" i="2"/>
  <c r="E3" i="1"/>
  <c r="E1" i="1"/>
</calcChain>
</file>

<file path=xl/sharedStrings.xml><?xml version="1.0" encoding="utf-8"?>
<sst xmlns="http://schemas.openxmlformats.org/spreadsheetml/2006/main" count="16" uniqueCount="14">
  <si>
    <t>X (STUDY HOURS)</t>
  </si>
  <si>
    <t>Y (MARKS)</t>
  </si>
  <si>
    <t>COVARIANCE=</t>
  </si>
  <si>
    <t>CORRELATION=</t>
  </si>
  <si>
    <t>X (HOURS STUDIED)</t>
  </si>
  <si>
    <t>Y(MARKS)</t>
  </si>
  <si>
    <t>X − Mean X</t>
  </si>
  <si>
    <t>(X−X̄)(Y−Ȳ)</t>
  </si>
  <si>
    <t>(X−X̄)²</t>
  </si>
  <si>
    <t>(Mean X) :</t>
  </si>
  <si>
    <t>(MEAN Y) :</t>
  </si>
  <si>
    <t>Y-Mean Y</t>
  </si>
  <si>
    <t>(Y−Ȳ)²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</si>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</sst>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ont="1" applyFill="1"/>
    <xf numFmtId="0" fontId="2" fillId="3" borderId="0" xfId="0" applyFont="1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7033-0BD9-4F56-BF49-F0E7C0F4BE24}">
  <dimension ref="A1:E6"/>
  <sheetViews>
    <sheetView workbookViewId="0">
      <selection activeCell="E4" sqref="E4"/>
    </sheetView>
  </sheetViews>
  <sheetFormatPr defaultRowHeight="14.5"/>
  <cols>
    <col min="1" max="1" width="15.08984375" customWidth="1"/>
    <col min="2" max="2" width="9.26953125" customWidth="1"/>
    <col min="4" max="4" width="13" customWidth="1"/>
  </cols>
  <sheetData>
    <row r="1" spans="1:5">
      <c r="A1" s="1" t="s">
        <v>0</v>
      </c>
      <c r="B1" s="2" t="s">
        <v>1</v>
      </c>
      <c r="D1" t="s">
        <v>2</v>
      </c>
      <c r="E1">
        <f>_xlfn.COVARIANCE.S(A2:A6,B2:B6)</f>
        <v>65</v>
      </c>
    </row>
    <row r="2" spans="1:5">
      <c r="A2">
        <v>2</v>
      </c>
      <c r="B2">
        <v>40</v>
      </c>
    </row>
    <row r="3" spans="1:5">
      <c r="A3">
        <v>4</v>
      </c>
      <c r="B3">
        <v>50</v>
      </c>
      <c r="D3" t="s">
        <v>3</v>
      </c>
      <c r="E3">
        <f>CORREL(A2:A6,B2:B6)</f>
        <v>0.99705448550158149</v>
      </c>
    </row>
    <row r="4" spans="1:5">
      <c r="A4">
        <v>6</v>
      </c>
      <c r="B4">
        <v>65</v>
      </c>
    </row>
    <row r="5" spans="1:5">
      <c r="A5">
        <v>8</v>
      </c>
      <c r="B5">
        <v>80</v>
      </c>
    </row>
    <row r="6" spans="1:5">
      <c r="A6">
        <v>10</v>
      </c>
      <c r="B6">
        <v>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FB54-C9B8-4542-A663-40F580D9876B}">
  <dimension ref="A1:H13"/>
  <sheetViews>
    <sheetView tabSelected="1" workbookViewId="0">
      <selection activeCell="H10" sqref="H10"/>
    </sheetView>
  </sheetViews>
  <sheetFormatPr defaultRowHeight="14.5"/>
  <cols>
    <col min="1" max="1" width="16.7265625" customWidth="1"/>
    <col min="2" max="2" width="9.90625" customWidth="1"/>
    <col min="3" max="3" width="10.36328125" customWidth="1"/>
    <col min="4" max="4" width="14.26953125" customWidth="1"/>
    <col min="5" max="5" width="13.7265625" customWidth="1"/>
    <col min="8" max="8" width="10.90625" customWidth="1"/>
  </cols>
  <sheetData>
    <row r="1" spans="1:8">
      <c r="A1" s="1" t="s">
        <v>4</v>
      </c>
      <c r="B1" s="2" t="s">
        <v>5</v>
      </c>
      <c r="C1" t="s">
        <v>6</v>
      </c>
      <c r="D1" t="s">
        <v>11</v>
      </c>
      <c r="E1" t="s">
        <v>7</v>
      </c>
      <c r="F1" t="s">
        <v>8</v>
      </c>
      <c r="G1" t="s">
        <v>12</v>
      </c>
      <c r="H1" t="s">
        <v>13</v>
      </c>
    </row>
    <row r="2" spans="1:8">
      <c r="A2">
        <v>2</v>
      </c>
      <c r="B2">
        <v>40</v>
      </c>
      <c r="C2">
        <f>A2-$A$8</f>
        <v>-4</v>
      </c>
      <c r="D2" s="3">
        <f>B2-$B$8</f>
        <v>-25</v>
      </c>
      <c r="E2">
        <f>C2*D2</f>
        <v>100</v>
      </c>
      <c r="F2">
        <f>C2^2</f>
        <v>16</v>
      </c>
      <c r="G2">
        <f>D2^2</f>
        <v>625</v>
      </c>
      <c r="H2">
        <f>E8/(F8*G8)</f>
        <v>0.99705448550158138</v>
      </c>
    </row>
    <row r="3" spans="1:8">
      <c r="A3">
        <v>4</v>
      </c>
      <c r="B3">
        <v>50</v>
      </c>
      <c r="C3">
        <f t="shared" ref="C3:C7" si="0">A3-$A$8</f>
        <v>-2</v>
      </c>
      <c r="D3" s="3">
        <f t="shared" ref="D3:D7" si="1">B3-$B$8</f>
        <v>-15</v>
      </c>
      <c r="E3">
        <f t="shared" ref="E3:E7" si="2">C3*D3</f>
        <v>30</v>
      </c>
      <c r="F3">
        <f t="shared" ref="F3:F7" si="3">C3^2</f>
        <v>4</v>
      </c>
      <c r="G3">
        <f t="shared" ref="G3:G7" si="4">D3^2</f>
        <v>225</v>
      </c>
    </row>
    <row r="4" spans="1:8">
      <c r="A4">
        <v>6</v>
      </c>
      <c r="B4">
        <v>65</v>
      </c>
      <c r="C4">
        <f t="shared" si="0"/>
        <v>0</v>
      </c>
      <c r="D4" s="3">
        <f t="shared" si="1"/>
        <v>0</v>
      </c>
      <c r="E4">
        <f t="shared" si="2"/>
        <v>0</v>
      </c>
      <c r="F4">
        <f t="shared" si="3"/>
        <v>0</v>
      </c>
      <c r="G4">
        <f t="shared" si="4"/>
        <v>0</v>
      </c>
    </row>
    <row r="5" spans="1:8">
      <c r="A5">
        <v>8</v>
      </c>
      <c r="B5">
        <v>80</v>
      </c>
      <c r="C5">
        <f t="shared" si="0"/>
        <v>2</v>
      </c>
      <c r="D5" s="3">
        <f t="shared" si="1"/>
        <v>15</v>
      </c>
      <c r="E5">
        <f t="shared" si="2"/>
        <v>30</v>
      </c>
      <c r="F5">
        <f t="shared" si="3"/>
        <v>4</v>
      </c>
      <c r="G5">
        <f t="shared" si="4"/>
        <v>225</v>
      </c>
    </row>
    <row r="6" spans="1:8">
      <c r="A6">
        <v>10</v>
      </c>
      <c r="B6">
        <v>90</v>
      </c>
      <c r="C6">
        <f t="shared" si="0"/>
        <v>4</v>
      </c>
      <c r="D6" s="3">
        <f t="shared" si="1"/>
        <v>25</v>
      </c>
      <c r="E6">
        <f t="shared" si="2"/>
        <v>100</v>
      </c>
      <c r="F6">
        <f t="shared" si="3"/>
        <v>16</v>
      </c>
      <c r="G6">
        <f t="shared" si="4"/>
        <v>625</v>
      </c>
    </row>
    <row r="7" spans="1:8">
      <c r="A7" t="s">
        <v>9</v>
      </c>
      <c r="B7" t="s">
        <v>10</v>
      </c>
      <c r="D7" s="3"/>
      <c r="E7">
        <f t="shared" si="2"/>
        <v>0</v>
      </c>
      <c r="F7">
        <f t="shared" si="3"/>
        <v>0</v>
      </c>
      <c r="G7">
        <f t="shared" si="4"/>
        <v>0</v>
      </c>
    </row>
    <row r="8" spans="1:8">
      <c r="A8">
        <f>AVERAGE(A2:A6)</f>
        <v>6</v>
      </c>
      <c r="B8">
        <f>AVERAGE(B2:B6)</f>
        <v>65</v>
      </c>
      <c r="E8">
        <f>SUM(E2:E6)/(COUNT(A2:A6)-1)</f>
        <v>65</v>
      </c>
      <c r="F8">
        <f>SQRT(SUM(F2:F6)/(COUNT(A2:A6)-1))</f>
        <v>3.1622776601683795</v>
      </c>
      <c r="G8">
        <f>SQRT(SUM(G2:G6)/(COUNT(B2:B6)-1))</f>
        <v>20.615528128088304</v>
      </c>
    </row>
    <row r="9" spans="1:8">
      <c r="F9" s="5"/>
      <c r="G9" s="4"/>
    </row>
    <row r="11" spans="1:8">
      <c r="E11" s="6" t="s">
        <v>2</v>
      </c>
      <c r="F11">
        <f>E8</f>
        <v>65</v>
      </c>
    </row>
    <row r="13" spans="1:8">
      <c r="E13" s="1" t="s">
        <v>3</v>
      </c>
      <c r="F13">
        <f>H2</f>
        <v>0.99705448550158138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2026-01-16T06:46:42Z</dcterms:created>
  <dcterms:modified xsi:type="dcterms:W3CDTF">2026-01-16T07:51:18Z</dcterms:modified>
</cp:coreProperties>
</file>